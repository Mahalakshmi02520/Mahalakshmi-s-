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cer\Documents\"/>
    </mc:Choice>
  </mc:AlternateContent>
  <xr:revisionPtr revIDLastSave="0" documentId="8_{F53A0974-641D-4089-A11A-4214C378DB0B}" xr6:coauthVersionLast="47" xr6:coauthVersionMax="47" xr10:uidLastSave="{00000000-0000-0000-0000-000000000000}"/>
  <bookViews>
    <workbookView xWindow="-120" yWindow="-120" windowWidth="20730" windowHeight="11040" activeTab="2" xr2:uid="{173CAF08-7B85-4889-9DB4-064BD7508A7E}"/>
  </bookViews>
  <sheets>
    <sheet name="count if" sheetId="1" r:id="rId1"/>
    <sheet name="Pivot table" sheetId="5" r:id="rId2"/>
    <sheet name="conditional formatting" sheetId="2" r:id="rId3"/>
    <sheet name="countif" sheetId="8" r:id="rId4"/>
    <sheet name="Pivot table 2" sheetId="13" r:id="rId5"/>
    <sheet name="silcers" sheetId="10" r:id="rId6"/>
  </sheets>
  <definedNames>
    <definedName name="Slicer_Candidate__Name">#N/A</definedName>
    <definedName name="Slicer_candidate_ID">#N/A</definedName>
    <definedName name="Slicer_Department">#N/A</definedName>
    <definedName name="Slicer_Interview">#N/A</definedName>
    <definedName name="Slicer_Joined">#N/A</definedName>
    <definedName name="Slicer_Offer">#N/A</definedName>
    <definedName name="Slicer_Recruiter">#N/A</definedName>
  </definedNames>
  <calcPr calcId="191029"/>
  <pivotCaches>
    <pivotCache cacheId="5" r:id="rId7"/>
    <pivotCache cacheId="5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8" l="1"/>
  <c r="I8" i="8"/>
  <c r="I6" i="8"/>
  <c r="I4" i="8"/>
  <c r="I2" i="8"/>
  <c r="I20" i="2"/>
  <c r="I19" i="2"/>
  <c r="I18" i="2"/>
  <c r="I17" i="2"/>
  <c r="I16" i="2"/>
  <c r="I15" i="2"/>
  <c r="I14" i="2"/>
  <c r="I13" i="2"/>
  <c r="I12" i="2"/>
  <c r="I11" i="2"/>
  <c r="I10" i="2"/>
  <c r="I9" i="2"/>
  <c r="I8" i="2"/>
  <c r="I7" i="2"/>
  <c r="I6" i="2"/>
  <c r="I5" i="2"/>
  <c r="I4" i="2"/>
  <c r="I3" i="2"/>
  <c r="I2" i="2"/>
  <c r="I5" i="1"/>
  <c r="I3" i="1"/>
  <c r="I4" i="1"/>
  <c r="I6" i="1"/>
  <c r="I7" i="1"/>
  <c r="I8" i="1"/>
  <c r="I9" i="1"/>
  <c r="I10" i="1"/>
  <c r="I11" i="1"/>
  <c r="I12" i="1"/>
  <c r="I13" i="1"/>
  <c r="I14" i="1"/>
  <c r="I15" i="1"/>
  <c r="I16" i="1"/>
  <c r="I17" i="1"/>
  <c r="I18" i="1"/>
  <c r="I19" i="1"/>
  <c r="I20" i="1"/>
  <c r="I2" i="1"/>
</calcChain>
</file>

<file path=xl/sharedStrings.xml><?xml version="1.0" encoding="utf-8"?>
<sst xmlns="http://schemas.openxmlformats.org/spreadsheetml/2006/main" count="313" uniqueCount="98">
  <si>
    <t>EMPLOYEE ID</t>
  </si>
  <si>
    <t>EMPLOYEE NAME</t>
  </si>
  <si>
    <t>DEPARTMENT</t>
  </si>
  <si>
    <t>PRESENT</t>
  </si>
  <si>
    <t>ABSENT</t>
  </si>
  <si>
    <t>LEAVE</t>
  </si>
  <si>
    <t>LATE</t>
  </si>
  <si>
    <t>TOTAL WORKING DAYS</t>
  </si>
  <si>
    <t>Loganayaki</t>
  </si>
  <si>
    <t>HR</t>
  </si>
  <si>
    <t>ATTENDANCE %</t>
  </si>
  <si>
    <t>Mithra</t>
  </si>
  <si>
    <t>Maha</t>
  </si>
  <si>
    <t>Divya</t>
  </si>
  <si>
    <t>Dhana</t>
  </si>
  <si>
    <t>Arjun</t>
  </si>
  <si>
    <t>Mathi</t>
  </si>
  <si>
    <t>Meena</t>
  </si>
  <si>
    <t>Nisha</t>
  </si>
  <si>
    <t>Anitha</t>
  </si>
  <si>
    <t>Deepa</t>
  </si>
  <si>
    <t>Mohan</t>
  </si>
  <si>
    <t>Sanjay</t>
  </si>
  <si>
    <t>Sneha</t>
  </si>
  <si>
    <t>Pooja</t>
  </si>
  <si>
    <t>Gokul</t>
  </si>
  <si>
    <t>Keerthana</t>
  </si>
  <si>
    <t>Suresh</t>
  </si>
  <si>
    <t>Haritha</t>
  </si>
  <si>
    <t>Finance</t>
  </si>
  <si>
    <t>Sales</t>
  </si>
  <si>
    <t>IT</t>
  </si>
  <si>
    <t>Marketing</t>
  </si>
  <si>
    <t>Row Labels</t>
  </si>
  <si>
    <t>(blank)</t>
  </si>
  <si>
    <t>Grand Total</t>
  </si>
  <si>
    <t>Sum of PRESENT</t>
  </si>
  <si>
    <t>Sum of ABSENT</t>
  </si>
  <si>
    <t>Sum of LEAVE</t>
  </si>
  <si>
    <t>Sum of LATE</t>
  </si>
  <si>
    <t>Sum of TOTAL WORKING DAYS</t>
  </si>
  <si>
    <t>Sum of ATTENDANCE %</t>
  </si>
  <si>
    <t>E001</t>
  </si>
  <si>
    <t>E002</t>
  </si>
  <si>
    <t>E003</t>
  </si>
  <si>
    <t>E004</t>
  </si>
  <si>
    <t>E005</t>
  </si>
  <si>
    <t>E006</t>
  </si>
  <si>
    <t>E007</t>
  </si>
  <si>
    <t>E008</t>
  </si>
  <si>
    <t>E009</t>
  </si>
  <si>
    <t>E010</t>
  </si>
  <si>
    <t>E011</t>
  </si>
  <si>
    <t>E012</t>
  </si>
  <si>
    <t>E013</t>
  </si>
  <si>
    <t>E014</t>
  </si>
  <si>
    <t>E015</t>
  </si>
  <si>
    <t>E016</t>
  </si>
  <si>
    <t>E017</t>
  </si>
  <si>
    <t>E018</t>
  </si>
  <si>
    <t>E019</t>
  </si>
  <si>
    <t>Finace</t>
  </si>
  <si>
    <t>candidate ID</t>
  </si>
  <si>
    <t>Candidate  Name</t>
  </si>
  <si>
    <t>Department</t>
  </si>
  <si>
    <t>Recruiter</t>
  </si>
  <si>
    <t>Interview</t>
  </si>
  <si>
    <t>Offer</t>
  </si>
  <si>
    <t>Joined</t>
  </si>
  <si>
    <t>Arun</t>
  </si>
  <si>
    <t>Priya</t>
  </si>
  <si>
    <t>Karthik</t>
  </si>
  <si>
    <t>Ajay</t>
  </si>
  <si>
    <t>Harish</t>
  </si>
  <si>
    <t>Ravi</t>
  </si>
  <si>
    <t>Kumar</t>
  </si>
  <si>
    <t>Shivani</t>
  </si>
  <si>
    <t>Logu</t>
  </si>
  <si>
    <t>Misha</t>
  </si>
  <si>
    <t>Renu</t>
  </si>
  <si>
    <t>Aishu</t>
  </si>
  <si>
    <t>yes</t>
  </si>
  <si>
    <t>no</t>
  </si>
  <si>
    <t>TOTAL CANDIDATES APPLIED</t>
  </si>
  <si>
    <t>INTERVIEW COMPLETED</t>
  </si>
  <si>
    <t>OFFER ACCEPTANCE RATE</t>
  </si>
  <si>
    <t>COUNT JOINED CANDIDATES</t>
  </si>
  <si>
    <t>C001</t>
  </si>
  <si>
    <t>C002</t>
  </si>
  <si>
    <t>C003</t>
  </si>
  <si>
    <t>C004</t>
  </si>
  <si>
    <t>C005</t>
  </si>
  <si>
    <t>C006</t>
  </si>
  <si>
    <t>C007</t>
  </si>
  <si>
    <t>C008</t>
  </si>
  <si>
    <t>C009</t>
  </si>
  <si>
    <t>C010</t>
  </si>
  <si>
    <t>Count of candidate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</si>
</sst>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0" fillId="0" borderId="1" xfId="0" applyBorder="1"/>
    <xf numFmtId="2" fontId="0" fillId="0" borderId="1" xfId="0" applyNumberFormat="1" applyBorder="1"/>
    <xf numFmtId="2" fontId="0" fillId="0" borderId="1" xfId="0" applyNumberFormat="1" applyFill="1" applyBorder="1"/>
    <xf numFmtId="0" fontId="1" fillId="2" borderId="1" xfId="0" applyFont="1" applyFill="1" applyBorder="1"/>
    <xf numFmtId="0" fontId="1" fillId="3" borderId="1" xfId="0" applyFont="1" applyFill="1" applyBorder="1"/>
    <xf numFmtId="0" fontId="0" fillId="4" borderId="1" xfId="0" applyFill="1" applyBorder="1"/>
  </cellXfs>
  <cellStyles count="1">
    <cellStyle name="Normal" xfId="0" builtinId="0"/>
  </cellStyles>
  <dxfs count="3">
    <dxf>
      <font>
        <color rgb="FF9C0006"/>
      </font>
      <fill>
        <patternFill>
          <bgColor rgb="FFFFC7CE"/>
        </patternFill>
      </fill>
    </dxf>
    <dxf>
      <font>
        <color rgb="FF9C0006"/>
      </font>
      <fill>
        <patternFill>
          <bgColor rgb="FFFFC7CE"/>
        </patternFill>
      </fill>
    </dxf>
    <dxf>
      <fill>
        <gradientFill degree="90">
          <stop position="0">
            <color theme="0"/>
          </stop>
          <stop position="1">
            <color theme="4"/>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[mahalakshmi excel.xlsx]Pivot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PRESENT</c:v>
                </c:pt>
              </c:strCache>
            </c:strRef>
          </c:tx>
          <c:spPr>
            <a:solidFill>
              <a:schemeClr val="accent1"/>
            </a:solidFill>
            <a:ln>
              <a:noFill/>
            </a:ln>
            <a:effectLst/>
          </c:spPr>
          <c:invertIfNegative val="0"/>
          <c:cat>
            <c:multiLvlStrRef>
              <c:f>'Pivot table'!$A$4:$A$43</c:f>
              <c:multiLvlStrCache>
                <c:ptCount val="19"/>
                <c:lvl>
                  <c:pt idx="0">
                    <c:v>IT</c:v>
                  </c:pt>
                  <c:pt idx="1">
                    <c:v>IT</c:v>
                  </c:pt>
                  <c:pt idx="2">
                    <c:v>HR</c:v>
                  </c:pt>
                  <c:pt idx="3">
                    <c:v>Marketing</c:v>
                  </c:pt>
                  <c:pt idx="4">
                    <c:v>HR</c:v>
                  </c:pt>
                  <c:pt idx="5">
                    <c:v>IT</c:v>
                  </c:pt>
                  <c:pt idx="6">
                    <c:v>Marketing</c:v>
                  </c:pt>
                  <c:pt idx="7">
                    <c:v>HR</c:v>
                  </c:pt>
                  <c:pt idx="8">
                    <c:v>HR</c:v>
                  </c:pt>
                  <c:pt idx="9">
                    <c:v>IT</c:v>
                  </c:pt>
                  <c:pt idx="10">
                    <c:v>HR</c:v>
                  </c:pt>
                  <c:pt idx="11">
                    <c:v>Finance</c:v>
                  </c:pt>
                  <c:pt idx="12">
                    <c:v>Sales</c:v>
                  </c:pt>
                  <c:pt idx="13">
                    <c:v>Marketing</c:v>
                  </c:pt>
                  <c:pt idx="14">
                    <c:v>Sales</c:v>
                  </c:pt>
                  <c:pt idx="15">
                    <c:v>Sales</c:v>
                  </c:pt>
                  <c:pt idx="16">
                    <c:v>HR</c:v>
                  </c:pt>
                  <c:pt idx="17">
                    <c:v>Finance</c:v>
                  </c:pt>
                  <c:pt idx="18">
                    <c:v>Finance</c:v>
                  </c:pt>
                </c:lvl>
                <c:lvl>
                  <c:pt idx="0">
                    <c:v>Anitha</c:v>
                  </c:pt>
                  <c:pt idx="1">
                    <c:v>Arjun</c:v>
                  </c:pt>
                  <c:pt idx="2">
                    <c:v>Deepa</c:v>
                  </c:pt>
                  <c:pt idx="3">
                    <c:v>Dhana</c:v>
                  </c:pt>
                  <c:pt idx="4">
                    <c:v>Divya</c:v>
                  </c:pt>
                  <c:pt idx="5">
                    <c:v>Gokul</c:v>
                  </c:pt>
                  <c:pt idx="6">
                    <c:v>Haritha</c:v>
                  </c:pt>
                  <c:pt idx="7">
                    <c:v>Keerthana</c:v>
                  </c:pt>
                  <c:pt idx="8">
                    <c:v>Loganayaki</c:v>
                  </c:pt>
                  <c:pt idx="9">
                    <c:v>Maha</c:v>
                  </c:pt>
                  <c:pt idx="10">
                    <c:v>Mathi</c:v>
                  </c:pt>
                  <c:pt idx="11">
                    <c:v>Meena</c:v>
                  </c:pt>
                  <c:pt idx="12">
                    <c:v>Mithra</c:v>
                  </c:pt>
                  <c:pt idx="13">
                    <c:v>Mohan</c:v>
                  </c:pt>
                  <c:pt idx="14">
                    <c:v>Nisha</c:v>
                  </c:pt>
                  <c:pt idx="15">
                    <c:v>Pooja</c:v>
                  </c:pt>
                  <c:pt idx="16">
                    <c:v>Sanjay</c:v>
                  </c:pt>
                  <c:pt idx="17">
                    <c:v>Sneha</c:v>
                  </c:pt>
                  <c:pt idx="18">
                    <c:v>Suresh</c:v>
                  </c:pt>
                </c:lvl>
                <c:lvl>
                  <c:pt idx="0">
                    <c:v>(blank)</c:v>
                  </c:pt>
                </c:lvl>
              </c:multiLvlStrCache>
            </c:multiLvlStrRef>
          </c:cat>
          <c:val>
            <c:numRef>
              <c:f>'Pivot table'!$B$4:$B$43</c:f>
              <c:numCache>
                <c:formatCode>General</c:formatCode>
                <c:ptCount val="19"/>
                <c:pt idx="0">
                  <c:v>23</c:v>
                </c:pt>
                <c:pt idx="1">
                  <c:v>24</c:v>
                </c:pt>
                <c:pt idx="2">
                  <c:v>20</c:v>
                </c:pt>
                <c:pt idx="3">
                  <c:v>23</c:v>
                </c:pt>
                <c:pt idx="4">
                  <c:v>21</c:v>
                </c:pt>
                <c:pt idx="5">
                  <c:v>24</c:v>
                </c:pt>
                <c:pt idx="6">
                  <c:v>15</c:v>
                </c:pt>
                <c:pt idx="7">
                  <c:v>13</c:v>
                </c:pt>
                <c:pt idx="8">
                  <c:v>22</c:v>
                </c:pt>
                <c:pt idx="9">
                  <c:v>25</c:v>
                </c:pt>
                <c:pt idx="10">
                  <c:v>19</c:v>
                </c:pt>
                <c:pt idx="11">
                  <c:v>22</c:v>
                </c:pt>
                <c:pt idx="12">
                  <c:v>20</c:v>
                </c:pt>
                <c:pt idx="13">
                  <c:v>24</c:v>
                </c:pt>
                <c:pt idx="14">
                  <c:v>26</c:v>
                </c:pt>
                <c:pt idx="15">
                  <c:v>18</c:v>
                </c:pt>
                <c:pt idx="16">
                  <c:v>21</c:v>
                </c:pt>
                <c:pt idx="17">
                  <c:v>25</c:v>
                </c:pt>
                <c:pt idx="18">
                  <c:v>24</c:v>
                </c:pt>
              </c:numCache>
            </c:numRef>
          </c:val>
          <c:extLst>
            <c:ext xmlns:c16="http://schemas.microsoft.com/office/drawing/2014/chart" uri="{C3380CC4-5D6E-409C-BE32-E72D297353CC}">
              <c16:uniqueId val="{00000000-7A25-42B3-896F-F2F52694B1FA}"/>
            </c:ext>
          </c:extLst>
        </c:ser>
        <c:ser>
          <c:idx val="1"/>
          <c:order val="1"/>
          <c:tx>
            <c:strRef>
              <c:f>'Pivot table'!$C$3</c:f>
              <c:strCache>
                <c:ptCount val="1"/>
                <c:pt idx="0">
                  <c:v>Sum of ABSENT</c:v>
                </c:pt>
              </c:strCache>
            </c:strRef>
          </c:tx>
          <c:spPr>
            <a:solidFill>
              <a:schemeClr val="accent2"/>
            </a:solidFill>
            <a:ln>
              <a:noFill/>
            </a:ln>
            <a:effectLst/>
          </c:spPr>
          <c:invertIfNegative val="0"/>
          <c:cat>
            <c:multiLvlStrRef>
              <c:f>'Pivot table'!$A$4:$A$43</c:f>
              <c:multiLvlStrCache>
                <c:ptCount val="19"/>
                <c:lvl>
                  <c:pt idx="0">
                    <c:v>IT</c:v>
                  </c:pt>
                  <c:pt idx="1">
                    <c:v>IT</c:v>
                  </c:pt>
                  <c:pt idx="2">
                    <c:v>HR</c:v>
                  </c:pt>
                  <c:pt idx="3">
                    <c:v>Marketing</c:v>
                  </c:pt>
                  <c:pt idx="4">
                    <c:v>HR</c:v>
                  </c:pt>
                  <c:pt idx="5">
                    <c:v>IT</c:v>
                  </c:pt>
                  <c:pt idx="6">
                    <c:v>Marketing</c:v>
                  </c:pt>
                  <c:pt idx="7">
                    <c:v>HR</c:v>
                  </c:pt>
                  <c:pt idx="8">
                    <c:v>HR</c:v>
                  </c:pt>
                  <c:pt idx="9">
                    <c:v>IT</c:v>
                  </c:pt>
                  <c:pt idx="10">
                    <c:v>HR</c:v>
                  </c:pt>
                  <c:pt idx="11">
                    <c:v>Finance</c:v>
                  </c:pt>
                  <c:pt idx="12">
                    <c:v>Sales</c:v>
                  </c:pt>
                  <c:pt idx="13">
                    <c:v>Marketing</c:v>
                  </c:pt>
                  <c:pt idx="14">
                    <c:v>Sales</c:v>
                  </c:pt>
                  <c:pt idx="15">
                    <c:v>Sales</c:v>
                  </c:pt>
                  <c:pt idx="16">
                    <c:v>HR</c:v>
                  </c:pt>
                  <c:pt idx="17">
                    <c:v>Finance</c:v>
                  </c:pt>
                  <c:pt idx="18">
                    <c:v>Finance</c:v>
                  </c:pt>
                </c:lvl>
                <c:lvl>
                  <c:pt idx="0">
                    <c:v>Anitha</c:v>
                  </c:pt>
                  <c:pt idx="1">
                    <c:v>Arjun</c:v>
                  </c:pt>
                  <c:pt idx="2">
                    <c:v>Deepa</c:v>
                  </c:pt>
                  <c:pt idx="3">
                    <c:v>Dhana</c:v>
                  </c:pt>
                  <c:pt idx="4">
                    <c:v>Divya</c:v>
                  </c:pt>
                  <c:pt idx="5">
                    <c:v>Gokul</c:v>
                  </c:pt>
                  <c:pt idx="6">
                    <c:v>Haritha</c:v>
                  </c:pt>
                  <c:pt idx="7">
                    <c:v>Keerthana</c:v>
                  </c:pt>
                  <c:pt idx="8">
                    <c:v>Loganayaki</c:v>
                  </c:pt>
                  <c:pt idx="9">
                    <c:v>Maha</c:v>
                  </c:pt>
                  <c:pt idx="10">
                    <c:v>Mathi</c:v>
                  </c:pt>
                  <c:pt idx="11">
                    <c:v>Meena</c:v>
                  </c:pt>
                  <c:pt idx="12">
                    <c:v>Mithra</c:v>
                  </c:pt>
                  <c:pt idx="13">
                    <c:v>Mohan</c:v>
                  </c:pt>
                  <c:pt idx="14">
                    <c:v>Nisha</c:v>
                  </c:pt>
                  <c:pt idx="15">
                    <c:v>Pooja</c:v>
                  </c:pt>
                  <c:pt idx="16">
                    <c:v>Sanjay</c:v>
                  </c:pt>
                  <c:pt idx="17">
                    <c:v>Sneha</c:v>
                  </c:pt>
                  <c:pt idx="18">
                    <c:v>Suresh</c:v>
                  </c:pt>
                </c:lvl>
                <c:lvl>
                  <c:pt idx="0">
                    <c:v>(blank)</c:v>
                  </c:pt>
                </c:lvl>
              </c:multiLvlStrCache>
            </c:multiLvlStrRef>
          </c:cat>
          <c:val>
            <c:numRef>
              <c:f>'Pivot table'!$C$4:$C$43</c:f>
              <c:numCache>
                <c:formatCode>General</c:formatCode>
                <c:ptCount val="19"/>
                <c:pt idx="0">
                  <c:v>2</c:v>
                </c:pt>
                <c:pt idx="1">
                  <c:v>1</c:v>
                </c:pt>
                <c:pt idx="2">
                  <c:v>3</c:v>
                </c:pt>
                <c:pt idx="3">
                  <c:v>1</c:v>
                </c:pt>
                <c:pt idx="4">
                  <c:v>3</c:v>
                </c:pt>
                <c:pt idx="5">
                  <c:v>1</c:v>
                </c:pt>
                <c:pt idx="6">
                  <c:v>10</c:v>
                </c:pt>
                <c:pt idx="7">
                  <c:v>5</c:v>
                </c:pt>
                <c:pt idx="8">
                  <c:v>2</c:v>
                </c:pt>
                <c:pt idx="9">
                  <c:v>0</c:v>
                </c:pt>
                <c:pt idx="10">
                  <c:v>5</c:v>
                </c:pt>
                <c:pt idx="11">
                  <c:v>0</c:v>
                </c:pt>
                <c:pt idx="12">
                  <c:v>4</c:v>
                </c:pt>
                <c:pt idx="13">
                  <c:v>1</c:v>
                </c:pt>
                <c:pt idx="14">
                  <c:v>0</c:v>
                </c:pt>
                <c:pt idx="15">
                  <c:v>6</c:v>
                </c:pt>
                <c:pt idx="16">
                  <c:v>1</c:v>
                </c:pt>
                <c:pt idx="17">
                  <c:v>0</c:v>
                </c:pt>
                <c:pt idx="18">
                  <c:v>1</c:v>
                </c:pt>
              </c:numCache>
            </c:numRef>
          </c:val>
          <c:extLst>
            <c:ext xmlns:c16="http://schemas.microsoft.com/office/drawing/2014/chart" uri="{C3380CC4-5D6E-409C-BE32-E72D297353CC}">
              <c16:uniqueId val="{00000002-7A25-42B3-896F-F2F52694B1FA}"/>
            </c:ext>
          </c:extLst>
        </c:ser>
        <c:ser>
          <c:idx val="2"/>
          <c:order val="2"/>
          <c:tx>
            <c:strRef>
              <c:f>'Pivot table'!$D$3</c:f>
              <c:strCache>
                <c:ptCount val="1"/>
                <c:pt idx="0">
                  <c:v>Sum of LEAVE</c:v>
                </c:pt>
              </c:strCache>
            </c:strRef>
          </c:tx>
          <c:spPr>
            <a:solidFill>
              <a:schemeClr val="accent3"/>
            </a:solidFill>
            <a:ln>
              <a:noFill/>
            </a:ln>
            <a:effectLst/>
          </c:spPr>
          <c:invertIfNegative val="0"/>
          <c:cat>
            <c:multiLvlStrRef>
              <c:f>'Pivot table'!$A$4:$A$43</c:f>
              <c:multiLvlStrCache>
                <c:ptCount val="19"/>
                <c:lvl>
                  <c:pt idx="0">
                    <c:v>IT</c:v>
                  </c:pt>
                  <c:pt idx="1">
                    <c:v>IT</c:v>
                  </c:pt>
                  <c:pt idx="2">
                    <c:v>HR</c:v>
                  </c:pt>
                  <c:pt idx="3">
                    <c:v>Marketing</c:v>
                  </c:pt>
                  <c:pt idx="4">
                    <c:v>HR</c:v>
                  </c:pt>
                  <c:pt idx="5">
                    <c:v>IT</c:v>
                  </c:pt>
                  <c:pt idx="6">
                    <c:v>Marketing</c:v>
                  </c:pt>
                  <c:pt idx="7">
                    <c:v>HR</c:v>
                  </c:pt>
                  <c:pt idx="8">
                    <c:v>HR</c:v>
                  </c:pt>
                  <c:pt idx="9">
                    <c:v>IT</c:v>
                  </c:pt>
                  <c:pt idx="10">
                    <c:v>HR</c:v>
                  </c:pt>
                  <c:pt idx="11">
                    <c:v>Finance</c:v>
                  </c:pt>
                  <c:pt idx="12">
                    <c:v>Sales</c:v>
                  </c:pt>
                  <c:pt idx="13">
                    <c:v>Marketing</c:v>
                  </c:pt>
                  <c:pt idx="14">
                    <c:v>Sales</c:v>
                  </c:pt>
                  <c:pt idx="15">
                    <c:v>Sales</c:v>
                  </c:pt>
                  <c:pt idx="16">
                    <c:v>HR</c:v>
                  </c:pt>
                  <c:pt idx="17">
                    <c:v>Finance</c:v>
                  </c:pt>
                  <c:pt idx="18">
                    <c:v>Finance</c:v>
                  </c:pt>
                </c:lvl>
                <c:lvl>
                  <c:pt idx="0">
                    <c:v>Anitha</c:v>
                  </c:pt>
                  <c:pt idx="1">
                    <c:v>Arjun</c:v>
                  </c:pt>
                  <c:pt idx="2">
                    <c:v>Deepa</c:v>
                  </c:pt>
                  <c:pt idx="3">
                    <c:v>Dhana</c:v>
                  </c:pt>
                  <c:pt idx="4">
                    <c:v>Divya</c:v>
                  </c:pt>
                  <c:pt idx="5">
                    <c:v>Gokul</c:v>
                  </c:pt>
                  <c:pt idx="6">
                    <c:v>Haritha</c:v>
                  </c:pt>
                  <c:pt idx="7">
                    <c:v>Keerthana</c:v>
                  </c:pt>
                  <c:pt idx="8">
                    <c:v>Loganayaki</c:v>
                  </c:pt>
                  <c:pt idx="9">
                    <c:v>Maha</c:v>
                  </c:pt>
                  <c:pt idx="10">
                    <c:v>Mathi</c:v>
                  </c:pt>
                  <c:pt idx="11">
                    <c:v>Meena</c:v>
                  </c:pt>
                  <c:pt idx="12">
                    <c:v>Mithra</c:v>
                  </c:pt>
                  <c:pt idx="13">
                    <c:v>Mohan</c:v>
                  </c:pt>
                  <c:pt idx="14">
                    <c:v>Nisha</c:v>
                  </c:pt>
                  <c:pt idx="15">
                    <c:v>Pooja</c:v>
                  </c:pt>
                  <c:pt idx="16">
                    <c:v>Sanjay</c:v>
                  </c:pt>
                  <c:pt idx="17">
                    <c:v>Sneha</c:v>
                  </c:pt>
                  <c:pt idx="18">
                    <c:v>Suresh</c:v>
                  </c:pt>
                </c:lvl>
                <c:lvl>
                  <c:pt idx="0">
                    <c:v>(blank)</c:v>
                  </c:pt>
                </c:lvl>
              </c:multiLvlStrCache>
            </c:multiLvlStrRef>
          </c:cat>
          <c:val>
            <c:numRef>
              <c:f>'Pivot table'!$D$4:$D$43</c:f>
              <c:numCache>
                <c:formatCode>General</c:formatCode>
                <c:ptCount val="19"/>
                <c:pt idx="0">
                  <c:v>1</c:v>
                </c:pt>
                <c:pt idx="1">
                  <c:v>1</c:v>
                </c:pt>
                <c:pt idx="2">
                  <c:v>2</c:v>
                </c:pt>
                <c:pt idx="3">
                  <c:v>2</c:v>
                </c:pt>
                <c:pt idx="4">
                  <c:v>1</c:v>
                </c:pt>
                <c:pt idx="5">
                  <c:v>1</c:v>
                </c:pt>
                <c:pt idx="6">
                  <c:v>1</c:v>
                </c:pt>
                <c:pt idx="7">
                  <c:v>6</c:v>
                </c:pt>
                <c:pt idx="8">
                  <c:v>2</c:v>
                </c:pt>
                <c:pt idx="9">
                  <c:v>0</c:v>
                </c:pt>
                <c:pt idx="10">
                  <c:v>2</c:v>
                </c:pt>
                <c:pt idx="11">
                  <c:v>2</c:v>
                </c:pt>
                <c:pt idx="12">
                  <c:v>2</c:v>
                </c:pt>
                <c:pt idx="13">
                  <c:v>0</c:v>
                </c:pt>
                <c:pt idx="14">
                  <c:v>0</c:v>
                </c:pt>
                <c:pt idx="15">
                  <c:v>2</c:v>
                </c:pt>
                <c:pt idx="16">
                  <c:v>3</c:v>
                </c:pt>
                <c:pt idx="17">
                  <c:v>0</c:v>
                </c:pt>
                <c:pt idx="18">
                  <c:v>1</c:v>
                </c:pt>
              </c:numCache>
            </c:numRef>
          </c:val>
          <c:extLst>
            <c:ext xmlns:c16="http://schemas.microsoft.com/office/drawing/2014/chart" uri="{C3380CC4-5D6E-409C-BE32-E72D297353CC}">
              <c16:uniqueId val="{00000003-7A25-42B3-896F-F2F52694B1FA}"/>
            </c:ext>
          </c:extLst>
        </c:ser>
        <c:ser>
          <c:idx val="3"/>
          <c:order val="3"/>
          <c:tx>
            <c:strRef>
              <c:f>'Pivot table'!$E$3</c:f>
              <c:strCache>
                <c:ptCount val="1"/>
                <c:pt idx="0">
                  <c:v>Sum of LATE</c:v>
                </c:pt>
              </c:strCache>
            </c:strRef>
          </c:tx>
          <c:spPr>
            <a:solidFill>
              <a:schemeClr val="accent4"/>
            </a:solidFill>
            <a:ln>
              <a:noFill/>
            </a:ln>
            <a:effectLst/>
          </c:spPr>
          <c:invertIfNegative val="0"/>
          <c:cat>
            <c:multiLvlStrRef>
              <c:f>'Pivot table'!$A$4:$A$43</c:f>
              <c:multiLvlStrCache>
                <c:ptCount val="19"/>
                <c:lvl>
                  <c:pt idx="0">
                    <c:v>IT</c:v>
                  </c:pt>
                  <c:pt idx="1">
                    <c:v>IT</c:v>
                  </c:pt>
                  <c:pt idx="2">
                    <c:v>HR</c:v>
                  </c:pt>
                  <c:pt idx="3">
                    <c:v>Marketing</c:v>
                  </c:pt>
                  <c:pt idx="4">
                    <c:v>HR</c:v>
                  </c:pt>
                  <c:pt idx="5">
                    <c:v>IT</c:v>
                  </c:pt>
                  <c:pt idx="6">
                    <c:v>Marketing</c:v>
                  </c:pt>
                  <c:pt idx="7">
                    <c:v>HR</c:v>
                  </c:pt>
                  <c:pt idx="8">
                    <c:v>HR</c:v>
                  </c:pt>
                  <c:pt idx="9">
                    <c:v>IT</c:v>
                  </c:pt>
                  <c:pt idx="10">
                    <c:v>HR</c:v>
                  </c:pt>
                  <c:pt idx="11">
                    <c:v>Finance</c:v>
                  </c:pt>
                  <c:pt idx="12">
                    <c:v>Sales</c:v>
                  </c:pt>
                  <c:pt idx="13">
                    <c:v>Marketing</c:v>
                  </c:pt>
                  <c:pt idx="14">
                    <c:v>Sales</c:v>
                  </c:pt>
                  <c:pt idx="15">
                    <c:v>Sales</c:v>
                  </c:pt>
                  <c:pt idx="16">
                    <c:v>HR</c:v>
                  </c:pt>
                  <c:pt idx="17">
                    <c:v>Finance</c:v>
                  </c:pt>
                  <c:pt idx="18">
                    <c:v>Finance</c:v>
                  </c:pt>
                </c:lvl>
                <c:lvl>
                  <c:pt idx="0">
                    <c:v>Anitha</c:v>
                  </c:pt>
                  <c:pt idx="1">
                    <c:v>Arjun</c:v>
                  </c:pt>
                  <c:pt idx="2">
                    <c:v>Deepa</c:v>
                  </c:pt>
                  <c:pt idx="3">
                    <c:v>Dhana</c:v>
                  </c:pt>
                  <c:pt idx="4">
                    <c:v>Divya</c:v>
                  </c:pt>
                  <c:pt idx="5">
                    <c:v>Gokul</c:v>
                  </c:pt>
                  <c:pt idx="6">
                    <c:v>Haritha</c:v>
                  </c:pt>
                  <c:pt idx="7">
                    <c:v>Keerthana</c:v>
                  </c:pt>
                  <c:pt idx="8">
                    <c:v>Loganayaki</c:v>
                  </c:pt>
                  <c:pt idx="9">
                    <c:v>Maha</c:v>
                  </c:pt>
                  <c:pt idx="10">
                    <c:v>Mathi</c:v>
                  </c:pt>
                  <c:pt idx="11">
                    <c:v>Meena</c:v>
                  </c:pt>
                  <c:pt idx="12">
                    <c:v>Mithra</c:v>
                  </c:pt>
                  <c:pt idx="13">
                    <c:v>Mohan</c:v>
                  </c:pt>
                  <c:pt idx="14">
                    <c:v>Nisha</c:v>
                  </c:pt>
                  <c:pt idx="15">
                    <c:v>Pooja</c:v>
                  </c:pt>
                  <c:pt idx="16">
                    <c:v>Sanjay</c:v>
                  </c:pt>
                  <c:pt idx="17">
                    <c:v>Sneha</c:v>
                  </c:pt>
                  <c:pt idx="18">
                    <c:v>Suresh</c:v>
                  </c:pt>
                </c:lvl>
                <c:lvl>
                  <c:pt idx="0">
                    <c:v>(blank)</c:v>
                  </c:pt>
                </c:lvl>
              </c:multiLvlStrCache>
            </c:multiLvlStrRef>
          </c:cat>
          <c:val>
            <c:numRef>
              <c:f>'Pivot table'!$E$4:$E$43</c:f>
              <c:numCache>
                <c:formatCode>General</c:formatCode>
                <c:ptCount val="19"/>
                <c:pt idx="0">
                  <c:v>0</c:v>
                </c:pt>
                <c:pt idx="1">
                  <c:v>0</c:v>
                </c:pt>
                <c:pt idx="2">
                  <c:v>1</c:v>
                </c:pt>
                <c:pt idx="3">
                  <c:v>0</c:v>
                </c:pt>
                <c:pt idx="4">
                  <c:v>1</c:v>
                </c:pt>
                <c:pt idx="5">
                  <c:v>0</c:v>
                </c:pt>
                <c:pt idx="6">
                  <c:v>0</c:v>
                </c:pt>
                <c:pt idx="7">
                  <c:v>2</c:v>
                </c:pt>
                <c:pt idx="8">
                  <c:v>1</c:v>
                </c:pt>
                <c:pt idx="9">
                  <c:v>1</c:v>
                </c:pt>
                <c:pt idx="10">
                  <c:v>0</c:v>
                </c:pt>
                <c:pt idx="11">
                  <c:v>1</c:v>
                </c:pt>
                <c:pt idx="12">
                  <c:v>0</c:v>
                </c:pt>
                <c:pt idx="13">
                  <c:v>2</c:v>
                </c:pt>
                <c:pt idx="14">
                  <c:v>0</c:v>
                </c:pt>
                <c:pt idx="15">
                  <c:v>0</c:v>
                </c:pt>
                <c:pt idx="16">
                  <c:v>1</c:v>
                </c:pt>
                <c:pt idx="17">
                  <c:v>2</c:v>
                </c:pt>
                <c:pt idx="18">
                  <c:v>0</c:v>
                </c:pt>
              </c:numCache>
            </c:numRef>
          </c:val>
          <c:extLst>
            <c:ext xmlns:c16="http://schemas.microsoft.com/office/drawing/2014/chart" uri="{C3380CC4-5D6E-409C-BE32-E72D297353CC}">
              <c16:uniqueId val="{00000004-7A25-42B3-896F-F2F52694B1FA}"/>
            </c:ext>
          </c:extLst>
        </c:ser>
        <c:ser>
          <c:idx val="4"/>
          <c:order val="4"/>
          <c:tx>
            <c:strRef>
              <c:f>'Pivot table'!$F$3</c:f>
              <c:strCache>
                <c:ptCount val="1"/>
                <c:pt idx="0">
                  <c:v>Sum of TOTAL WORKING DAYS</c:v>
                </c:pt>
              </c:strCache>
            </c:strRef>
          </c:tx>
          <c:spPr>
            <a:solidFill>
              <a:schemeClr val="accent5"/>
            </a:solidFill>
            <a:ln>
              <a:noFill/>
            </a:ln>
            <a:effectLst/>
          </c:spPr>
          <c:invertIfNegative val="0"/>
          <c:cat>
            <c:multiLvlStrRef>
              <c:f>'Pivot table'!$A$4:$A$43</c:f>
              <c:multiLvlStrCache>
                <c:ptCount val="19"/>
                <c:lvl>
                  <c:pt idx="0">
                    <c:v>IT</c:v>
                  </c:pt>
                  <c:pt idx="1">
                    <c:v>IT</c:v>
                  </c:pt>
                  <c:pt idx="2">
                    <c:v>HR</c:v>
                  </c:pt>
                  <c:pt idx="3">
                    <c:v>Marketing</c:v>
                  </c:pt>
                  <c:pt idx="4">
                    <c:v>HR</c:v>
                  </c:pt>
                  <c:pt idx="5">
                    <c:v>IT</c:v>
                  </c:pt>
                  <c:pt idx="6">
                    <c:v>Marketing</c:v>
                  </c:pt>
                  <c:pt idx="7">
                    <c:v>HR</c:v>
                  </c:pt>
                  <c:pt idx="8">
                    <c:v>HR</c:v>
                  </c:pt>
                  <c:pt idx="9">
                    <c:v>IT</c:v>
                  </c:pt>
                  <c:pt idx="10">
                    <c:v>HR</c:v>
                  </c:pt>
                  <c:pt idx="11">
                    <c:v>Finance</c:v>
                  </c:pt>
                  <c:pt idx="12">
                    <c:v>Sales</c:v>
                  </c:pt>
                  <c:pt idx="13">
                    <c:v>Marketing</c:v>
                  </c:pt>
                  <c:pt idx="14">
                    <c:v>Sales</c:v>
                  </c:pt>
                  <c:pt idx="15">
                    <c:v>Sales</c:v>
                  </c:pt>
                  <c:pt idx="16">
                    <c:v>HR</c:v>
                  </c:pt>
                  <c:pt idx="17">
                    <c:v>Finance</c:v>
                  </c:pt>
                  <c:pt idx="18">
                    <c:v>Finance</c:v>
                  </c:pt>
                </c:lvl>
                <c:lvl>
                  <c:pt idx="0">
                    <c:v>Anitha</c:v>
                  </c:pt>
                  <c:pt idx="1">
                    <c:v>Arjun</c:v>
                  </c:pt>
                  <c:pt idx="2">
                    <c:v>Deepa</c:v>
                  </c:pt>
                  <c:pt idx="3">
                    <c:v>Dhana</c:v>
                  </c:pt>
                  <c:pt idx="4">
                    <c:v>Divya</c:v>
                  </c:pt>
                  <c:pt idx="5">
                    <c:v>Gokul</c:v>
                  </c:pt>
                  <c:pt idx="6">
                    <c:v>Haritha</c:v>
                  </c:pt>
                  <c:pt idx="7">
                    <c:v>Keerthana</c:v>
                  </c:pt>
                  <c:pt idx="8">
                    <c:v>Loganayaki</c:v>
                  </c:pt>
                  <c:pt idx="9">
                    <c:v>Maha</c:v>
                  </c:pt>
                  <c:pt idx="10">
                    <c:v>Mathi</c:v>
                  </c:pt>
                  <c:pt idx="11">
                    <c:v>Meena</c:v>
                  </c:pt>
                  <c:pt idx="12">
                    <c:v>Mithra</c:v>
                  </c:pt>
                  <c:pt idx="13">
                    <c:v>Mohan</c:v>
                  </c:pt>
                  <c:pt idx="14">
                    <c:v>Nisha</c:v>
                  </c:pt>
                  <c:pt idx="15">
                    <c:v>Pooja</c:v>
                  </c:pt>
                  <c:pt idx="16">
                    <c:v>Sanjay</c:v>
                  </c:pt>
                  <c:pt idx="17">
                    <c:v>Sneha</c:v>
                  </c:pt>
                  <c:pt idx="18">
                    <c:v>Suresh</c:v>
                  </c:pt>
                </c:lvl>
                <c:lvl>
                  <c:pt idx="0">
                    <c:v>(blank)</c:v>
                  </c:pt>
                </c:lvl>
              </c:multiLvlStrCache>
            </c:multiLvlStrRef>
          </c:cat>
          <c:val>
            <c:numRef>
              <c:f>'Pivot table'!$F$4:$F$43</c:f>
              <c:numCache>
                <c:formatCode>General</c:formatCode>
                <c:ptCount val="19"/>
                <c:pt idx="0">
                  <c:v>26</c:v>
                </c:pt>
                <c:pt idx="1">
                  <c:v>26</c:v>
                </c:pt>
                <c:pt idx="2">
                  <c:v>26</c:v>
                </c:pt>
                <c:pt idx="3">
                  <c:v>26</c:v>
                </c:pt>
                <c:pt idx="4">
                  <c:v>26</c:v>
                </c:pt>
                <c:pt idx="5">
                  <c:v>26</c:v>
                </c:pt>
                <c:pt idx="6">
                  <c:v>26</c:v>
                </c:pt>
                <c:pt idx="7">
                  <c:v>26</c:v>
                </c:pt>
                <c:pt idx="8">
                  <c:v>26</c:v>
                </c:pt>
                <c:pt idx="9">
                  <c:v>26</c:v>
                </c:pt>
                <c:pt idx="10">
                  <c:v>26</c:v>
                </c:pt>
                <c:pt idx="11">
                  <c:v>26</c:v>
                </c:pt>
                <c:pt idx="12">
                  <c:v>26</c:v>
                </c:pt>
                <c:pt idx="13">
                  <c:v>26</c:v>
                </c:pt>
                <c:pt idx="14">
                  <c:v>26</c:v>
                </c:pt>
                <c:pt idx="15">
                  <c:v>26</c:v>
                </c:pt>
                <c:pt idx="16">
                  <c:v>26</c:v>
                </c:pt>
                <c:pt idx="17">
                  <c:v>26</c:v>
                </c:pt>
                <c:pt idx="18">
                  <c:v>26</c:v>
                </c:pt>
              </c:numCache>
            </c:numRef>
          </c:val>
          <c:extLst>
            <c:ext xmlns:c16="http://schemas.microsoft.com/office/drawing/2014/chart" uri="{C3380CC4-5D6E-409C-BE32-E72D297353CC}">
              <c16:uniqueId val="{00000005-7A25-42B3-896F-F2F52694B1FA}"/>
            </c:ext>
          </c:extLst>
        </c:ser>
        <c:ser>
          <c:idx val="5"/>
          <c:order val="5"/>
          <c:tx>
            <c:strRef>
              <c:f>'Pivot table'!$G$3</c:f>
              <c:strCache>
                <c:ptCount val="1"/>
                <c:pt idx="0">
                  <c:v>Sum of ATTENDANCE %</c:v>
                </c:pt>
              </c:strCache>
            </c:strRef>
          </c:tx>
          <c:spPr>
            <a:solidFill>
              <a:schemeClr val="accent6"/>
            </a:solidFill>
            <a:ln>
              <a:noFill/>
            </a:ln>
            <a:effectLst/>
          </c:spPr>
          <c:invertIfNegative val="0"/>
          <c:cat>
            <c:multiLvlStrRef>
              <c:f>'Pivot table'!$A$4:$A$43</c:f>
              <c:multiLvlStrCache>
                <c:ptCount val="19"/>
                <c:lvl>
                  <c:pt idx="0">
                    <c:v>IT</c:v>
                  </c:pt>
                  <c:pt idx="1">
                    <c:v>IT</c:v>
                  </c:pt>
                  <c:pt idx="2">
                    <c:v>HR</c:v>
                  </c:pt>
                  <c:pt idx="3">
                    <c:v>Marketing</c:v>
                  </c:pt>
                  <c:pt idx="4">
                    <c:v>HR</c:v>
                  </c:pt>
                  <c:pt idx="5">
                    <c:v>IT</c:v>
                  </c:pt>
                  <c:pt idx="6">
                    <c:v>Marketing</c:v>
                  </c:pt>
                  <c:pt idx="7">
                    <c:v>HR</c:v>
                  </c:pt>
                  <c:pt idx="8">
                    <c:v>HR</c:v>
                  </c:pt>
                  <c:pt idx="9">
                    <c:v>IT</c:v>
                  </c:pt>
                  <c:pt idx="10">
                    <c:v>HR</c:v>
                  </c:pt>
                  <c:pt idx="11">
                    <c:v>Finance</c:v>
                  </c:pt>
                  <c:pt idx="12">
                    <c:v>Sales</c:v>
                  </c:pt>
                  <c:pt idx="13">
                    <c:v>Marketing</c:v>
                  </c:pt>
                  <c:pt idx="14">
                    <c:v>Sales</c:v>
                  </c:pt>
                  <c:pt idx="15">
                    <c:v>Sales</c:v>
                  </c:pt>
                  <c:pt idx="16">
                    <c:v>HR</c:v>
                  </c:pt>
                  <c:pt idx="17">
                    <c:v>Finance</c:v>
                  </c:pt>
                  <c:pt idx="18">
                    <c:v>Finance</c:v>
                  </c:pt>
                </c:lvl>
                <c:lvl>
                  <c:pt idx="0">
                    <c:v>Anitha</c:v>
                  </c:pt>
                  <c:pt idx="1">
                    <c:v>Arjun</c:v>
                  </c:pt>
                  <c:pt idx="2">
                    <c:v>Deepa</c:v>
                  </c:pt>
                  <c:pt idx="3">
                    <c:v>Dhana</c:v>
                  </c:pt>
                  <c:pt idx="4">
                    <c:v>Divya</c:v>
                  </c:pt>
                  <c:pt idx="5">
                    <c:v>Gokul</c:v>
                  </c:pt>
                  <c:pt idx="6">
                    <c:v>Haritha</c:v>
                  </c:pt>
                  <c:pt idx="7">
                    <c:v>Keerthana</c:v>
                  </c:pt>
                  <c:pt idx="8">
                    <c:v>Loganayaki</c:v>
                  </c:pt>
                  <c:pt idx="9">
                    <c:v>Maha</c:v>
                  </c:pt>
                  <c:pt idx="10">
                    <c:v>Mathi</c:v>
                  </c:pt>
                  <c:pt idx="11">
                    <c:v>Meena</c:v>
                  </c:pt>
                  <c:pt idx="12">
                    <c:v>Mithra</c:v>
                  </c:pt>
                  <c:pt idx="13">
                    <c:v>Mohan</c:v>
                  </c:pt>
                  <c:pt idx="14">
                    <c:v>Nisha</c:v>
                  </c:pt>
                  <c:pt idx="15">
                    <c:v>Pooja</c:v>
                  </c:pt>
                  <c:pt idx="16">
                    <c:v>Sanjay</c:v>
                  </c:pt>
                  <c:pt idx="17">
                    <c:v>Sneha</c:v>
                  </c:pt>
                  <c:pt idx="18">
                    <c:v>Suresh</c:v>
                  </c:pt>
                </c:lvl>
                <c:lvl>
                  <c:pt idx="0">
                    <c:v>(blank)</c:v>
                  </c:pt>
                </c:lvl>
              </c:multiLvlStrCache>
            </c:multiLvlStrRef>
          </c:cat>
          <c:val>
            <c:numRef>
              <c:f>'Pivot table'!$G$4:$G$43</c:f>
              <c:numCache>
                <c:formatCode>0.00</c:formatCode>
                <c:ptCount val="19"/>
                <c:pt idx="0">
                  <c:v>88.461538461538453</c:v>
                </c:pt>
                <c:pt idx="1">
                  <c:v>92.307692307692307</c:v>
                </c:pt>
                <c:pt idx="2">
                  <c:v>76.923076923076934</c:v>
                </c:pt>
                <c:pt idx="3">
                  <c:v>88.461538461538453</c:v>
                </c:pt>
                <c:pt idx="4">
                  <c:v>80.769230769230774</c:v>
                </c:pt>
                <c:pt idx="5">
                  <c:v>92.307692307692307</c:v>
                </c:pt>
                <c:pt idx="6">
                  <c:v>57.692307692307686</c:v>
                </c:pt>
                <c:pt idx="7">
                  <c:v>50</c:v>
                </c:pt>
                <c:pt idx="8">
                  <c:v>84.615384615384613</c:v>
                </c:pt>
                <c:pt idx="9">
                  <c:v>96.15384615384616</c:v>
                </c:pt>
                <c:pt idx="10">
                  <c:v>73.076923076923066</c:v>
                </c:pt>
                <c:pt idx="11">
                  <c:v>84.615384615384613</c:v>
                </c:pt>
                <c:pt idx="12">
                  <c:v>76.923076923076934</c:v>
                </c:pt>
                <c:pt idx="13">
                  <c:v>92.307692307692307</c:v>
                </c:pt>
                <c:pt idx="14">
                  <c:v>100</c:v>
                </c:pt>
                <c:pt idx="15">
                  <c:v>69.230769230769226</c:v>
                </c:pt>
                <c:pt idx="16">
                  <c:v>80.769230769230774</c:v>
                </c:pt>
                <c:pt idx="17">
                  <c:v>96.15384615384616</c:v>
                </c:pt>
                <c:pt idx="18">
                  <c:v>92.307692307692307</c:v>
                </c:pt>
              </c:numCache>
            </c:numRef>
          </c:val>
          <c:extLst>
            <c:ext xmlns:c16="http://schemas.microsoft.com/office/drawing/2014/chart" uri="{C3380CC4-5D6E-409C-BE32-E72D297353CC}">
              <c16:uniqueId val="{00000006-7A25-42B3-896F-F2F52694B1FA}"/>
            </c:ext>
          </c:extLst>
        </c:ser>
        <c:dLbls>
          <c:showLegendKey val="0"/>
          <c:showVal val="0"/>
          <c:showCatName val="0"/>
          <c:showSerName val="0"/>
          <c:showPercent val="0"/>
          <c:showBubbleSize val="0"/>
        </c:dLbls>
        <c:gapWidth val="219"/>
        <c:overlap val="-27"/>
        <c:axId val="101821152"/>
        <c:axId val="101823072"/>
      </c:barChart>
      <c:catAx>
        <c:axId val="10182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23072"/>
        <c:crosses val="autoZero"/>
        <c:auto val="1"/>
        <c:lblAlgn val="ctr"/>
        <c:lblOffset val="100"/>
        <c:noMultiLvlLbl val="0"/>
      </c:catAx>
      <c:valAx>
        <c:axId val="10182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2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[mahalakshmi excel.xlsx]Pivot table 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 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 2'!$A$4:$A$18</c:f>
              <c:multiLvlStrCache>
                <c:ptCount val="8"/>
                <c:lvl>
                  <c:pt idx="0">
                    <c:v>no</c:v>
                  </c:pt>
                  <c:pt idx="1">
                    <c:v>yes</c:v>
                  </c:pt>
                  <c:pt idx="2">
                    <c:v>no</c:v>
                  </c:pt>
                  <c:pt idx="3">
                    <c:v>yes</c:v>
                  </c:pt>
                  <c:pt idx="4">
                    <c:v>yes</c:v>
                  </c:pt>
                  <c:pt idx="5">
                    <c:v>yes</c:v>
                  </c:pt>
                  <c:pt idx="6">
                    <c:v>no</c:v>
                  </c:pt>
                  <c:pt idx="7">
                    <c:v>(blank)</c:v>
                  </c:pt>
                </c:lvl>
                <c:lvl>
                  <c:pt idx="0">
                    <c:v>Finance</c:v>
                  </c:pt>
                  <c:pt idx="2">
                    <c:v>HR</c:v>
                  </c:pt>
                  <c:pt idx="4">
                    <c:v>IT</c:v>
                  </c:pt>
                  <c:pt idx="5">
                    <c:v>Marketing</c:v>
                  </c:pt>
                  <c:pt idx="6">
                    <c:v>Sales</c:v>
                  </c:pt>
                  <c:pt idx="7">
                    <c:v>(blank)</c:v>
                  </c:pt>
                </c:lvl>
              </c:multiLvlStrCache>
            </c:multiLvlStrRef>
          </c:cat>
          <c:val>
            <c:numRef>
              <c:f>'Pivot table 2'!$B$4:$B$18</c:f>
              <c:numCache>
                <c:formatCode>General</c:formatCode>
                <c:ptCount val="8"/>
                <c:pt idx="0">
                  <c:v>1</c:v>
                </c:pt>
                <c:pt idx="1">
                  <c:v>1</c:v>
                </c:pt>
                <c:pt idx="2">
                  <c:v>1</c:v>
                </c:pt>
                <c:pt idx="3">
                  <c:v>1</c:v>
                </c:pt>
                <c:pt idx="4">
                  <c:v>2</c:v>
                </c:pt>
                <c:pt idx="5">
                  <c:v>2</c:v>
                </c:pt>
                <c:pt idx="6">
                  <c:v>2</c:v>
                </c:pt>
              </c:numCache>
            </c:numRef>
          </c:val>
          <c:smooth val="0"/>
          <c:extLst>
            <c:ext xmlns:c16="http://schemas.microsoft.com/office/drawing/2014/chart" uri="{C3380CC4-5D6E-409C-BE32-E72D297353CC}">
              <c16:uniqueId val="{00000000-BF85-480F-8CBB-39CFA1259EAD}"/>
            </c:ext>
          </c:extLst>
        </c:ser>
        <c:dLbls>
          <c:showLegendKey val="0"/>
          <c:showVal val="0"/>
          <c:showCatName val="0"/>
          <c:showSerName val="0"/>
          <c:showPercent val="0"/>
          <c:showBubbleSize val="0"/>
        </c:dLbls>
        <c:marker val="1"/>
        <c:smooth val="0"/>
        <c:axId val="629909792"/>
        <c:axId val="629909312"/>
      </c:lineChart>
      <c:catAx>
        <c:axId val="62990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909312"/>
        <c:crosses val="autoZero"/>
        <c:auto val="1"/>
        <c:lblAlgn val="ctr"/>
        <c:lblOffset val="100"/>
        <c:noMultiLvlLbl val="0"/>
      </c:catAx>
      <c:valAx>
        <c:axId val="629909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90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85725</xdr:colOff>
      <xdr:row>4</xdr:row>
      <xdr:rowOff>4762</xdr:rowOff>
    </xdr:from>
    <xdr:to>
      <xdr:col>16</xdr:col>
      <xdr:colOff>19050</xdr:colOff>
      <xdr:row>18</xdr:row>
      <xdr:rowOff>80962</xdr:rowOff>
    </xdr:to>
    <xdr:graphicFrame macro="">
      <xdr:nvGraphicFramePr>
        <xdr:cNvPr id="2" name="Chart 1">
          <a:extLst>
            <a:ext uri="{FF2B5EF4-FFF2-40B4-BE49-F238E27FC236}">
              <a16:creationId xmlns:a16="http://schemas.microsoft.com/office/drawing/2014/main" id="{EE726ACD-762A-3816-4D0E-575A4A11F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542925</xdr:colOff>
      <xdr:row>3</xdr:row>
      <xdr:rowOff>90487</xdr:rowOff>
    </xdr:from>
    <xdr:to>
      <xdr:col>12</xdr:col>
      <xdr:colOff>238125</xdr:colOff>
      <xdr:row>17</xdr:row>
      <xdr:rowOff>166687</xdr:rowOff>
    </xdr:to>
    <xdr:graphicFrame macro="">
      <xdr:nvGraphicFramePr>
        <xdr:cNvPr id="2" name="Chart 1">
          <a:extLst>
            <a:ext uri="{FF2B5EF4-FFF2-40B4-BE49-F238E27FC236}">
              <a16:creationId xmlns:a16="http://schemas.microsoft.com/office/drawing/2014/main" id="{D920E78E-CC7A-0A26-E75E-9C60D2A74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466725</xdr:colOff>
      <xdr:row>1</xdr:row>
      <xdr:rowOff>95250</xdr:rowOff>
    </xdr:from>
    <xdr:to>
      <xdr:col>5</xdr:col>
      <xdr:colOff>466725</xdr:colOff>
      <xdr:row>14</xdr:row>
      <xdr:rowOff>142875</xdr:rowOff>
    </xdr:to>
    <mc:AlternateContent xmlns:mc="http://schemas.openxmlformats.org/markup-compatibility/2006">
      <mc:Choice xmlns:a14="http://schemas.microsoft.com/office/drawing/2010/main" Requires="a14">
        <xdr:graphicFrame macro="">
          <xdr:nvGraphicFramePr>
            <xdr:cNvPr id="11" name="candidate ID">
              <a:extLst>
                <a:ext uri="{FF2B5EF4-FFF2-40B4-BE49-F238E27FC236}">
                  <a16:creationId xmlns:a16="http://schemas.microsoft.com/office/drawing/2014/main" id="{075D9391-6036-7666-0AF1-FFA85DA06EE5}"/>
                </a:ext>
              </a:extLst>
            </xdr:cNvPr>
            <xdr:cNvGraphicFramePr/>
          </xdr:nvGraphicFramePr>
          <xdr:xfrm>
            <a:off x="0" y="0"/>
            <a:ext cx="0" cy="0"/>
          </xdr:xfrm>
          <a:graphic>
            <a:graphicData uri="http://schemas.microsoft.com/office/drawing/2010/slicer">
              <sle:slicer xmlns:sle="http://schemas.microsoft.com/office/drawing/2010/slicer" name="candidate ID"/>
            </a:graphicData>
          </a:graphic>
        </xdr:graphicFrame>
      </mc:Choice>
      <mc:Fallback>
        <xdr:sp macro="" textlink="">
          <xdr:nvSpPr>
            <xdr:cNvPr id="0" name=""/>
            <xdr:cNvSpPr>
              <a:spLocks noTextEdit="1"/>
            </xdr:cNvSpPr>
          </xdr:nvSpPr>
          <xdr:spPr>
            <a:xfrm>
              <a:off x="1952625" y="285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171450</xdr:colOff>
      <xdr:row>1</xdr:row>
      <xdr:rowOff>104775</xdr:rowOff>
    </xdr:from>
    <xdr:to>
      <xdr:col>9</xdr:col>
      <xdr:colOff>171450</xdr:colOff>
      <xdr:row>14</xdr:row>
      <xdr:rowOff>152400</xdr:rowOff>
    </xdr:to>
    <mc:AlternateContent xmlns:mc="http://schemas.openxmlformats.org/markup-compatibility/2006">
      <mc:Choice xmlns:a14="http://schemas.microsoft.com/office/drawing/2010/main" Requires="a14">
        <xdr:graphicFrame macro="">
          <xdr:nvGraphicFramePr>
            <xdr:cNvPr id="12" name="Candidate  Name">
              <a:extLst>
                <a:ext uri="{FF2B5EF4-FFF2-40B4-BE49-F238E27FC236}">
                  <a16:creationId xmlns:a16="http://schemas.microsoft.com/office/drawing/2014/main" id="{C2C77673-A71D-4958-1022-F7983C78EF45}"/>
                </a:ext>
              </a:extLst>
            </xdr:cNvPr>
            <xdr:cNvGraphicFramePr/>
          </xdr:nvGraphicFramePr>
          <xdr:xfrm>
            <a:off x="0" y="0"/>
            <a:ext cx="0" cy="0"/>
          </xdr:xfrm>
          <a:graphic>
            <a:graphicData uri="http://schemas.microsoft.com/office/drawing/2010/slicer">
              <sle:slicer xmlns:sle="http://schemas.microsoft.com/office/drawing/2010/slicer" name="Candidate  Name"/>
            </a:graphicData>
          </a:graphic>
        </xdr:graphicFrame>
      </mc:Choice>
      <mc:Fallback>
        <xdr:sp macro="" textlink="">
          <xdr:nvSpPr>
            <xdr:cNvPr id="0" name=""/>
            <xdr:cNvSpPr>
              <a:spLocks noTextEdit="1"/>
            </xdr:cNvSpPr>
          </xdr:nvSpPr>
          <xdr:spPr>
            <a:xfrm>
              <a:off x="4095750" y="295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1</xdr:row>
      <xdr:rowOff>142875</xdr:rowOff>
    </xdr:from>
    <xdr:to>
      <xdr:col>12</xdr:col>
      <xdr:colOff>571500</xdr:colOff>
      <xdr:row>15</xdr:row>
      <xdr:rowOff>0</xdr:rowOff>
    </xdr:to>
    <mc:AlternateContent xmlns:mc="http://schemas.openxmlformats.org/markup-compatibility/2006">
      <mc:Choice xmlns:a14="http://schemas.microsoft.com/office/drawing/2010/main" Requires="a14">
        <xdr:graphicFrame macro="">
          <xdr:nvGraphicFramePr>
            <xdr:cNvPr id="13" name="Department">
              <a:extLst>
                <a:ext uri="{FF2B5EF4-FFF2-40B4-BE49-F238E27FC236}">
                  <a16:creationId xmlns:a16="http://schemas.microsoft.com/office/drawing/2014/main" id="{CF795FE6-6F25-0092-7F80-EA249437816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324600" y="333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371475</xdr:colOff>
      <xdr:row>1</xdr:row>
      <xdr:rowOff>142875</xdr:rowOff>
    </xdr:from>
    <xdr:to>
      <xdr:col>16</xdr:col>
      <xdr:colOff>371475</xdr:colOff>
      <xdr:row>15</xdr:row>
      <xdr:rowOff>0</xdr:rowOff>
    </xdr:to>
    <mc:AlternateContent xmlns:mc="http://schemas.openxmlformats.org/markup-compatibility/2006">
      <mc:Choice xmlns:a14="http://schemas.microsoft.com/office/drawing/2010/main" Requires="a14">
        <xdr:graphicFrame macro="">
          <xdr:nvGraphicFramePr>
            <xdr:cNvPr id="14" name="Recruiter">
              <a:extLst>
                <a:ext uri="{FF2B5EF4-FFF2-40B4-BE49-F238E27FC236}">
                  <a16:creationId xmlns:a16="http://schemas.microsoft.com/office/drawing/2014/main" id="{6399E6B7-A2F8-521A-5593-CF1B9D2360E6}"/>
                </a:ext>
              </a:extLst>
            </xdr:cNvPr>
            <xdr:cNvGraphicFramePr/>
          </xdr:nvGraphicFramePr>
          <xdr:xfrm>
            <a:off x="0" y="0"/>
            <a:ext cx="0" cy="0"/>
          </xdr:xfrm>
          <a:graphic>
            <a:graphicData uri="http://schemas.microsoft.com/office/drawing/2010/slicer">
              <sle:slicer xmlns:sle="http://schemas.microsoft.com/office/drawing/2010/slicer" name="Recruiter"/>
            </a:graphicData>
          </a:graphic>
        </xdr:graphicFrame>
      </mc:Choice>
      <mc:Fallback>
        <xdr:sp macro="" textlink="">
          <xdr:nvSpPr>
            <xdr:cNvPr id="0" name=""/>
            <xdr:cNvSpPr>
              <a:spLocks noTextEdit="1"/>
            </xdr:cNvSpPr>
          </xdr:nvSpPr>
          <xdr:spPr>
            <a:xfrm>
              <a:off x="8562975" y="333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400050</xdr:colOff>
      <xdr:row>2</xdr:row>
      <xdr:rowOff>57150</xdr:rowOff>
    </xdr:from>
    <xdr:to>
      <xdr:col>20</xdr:col>
      <xdr:colOff>400050</xdr:colOff>
      <xdr:row>15</xdr:row>
      <xdr:rowOff>104775</xdr:rowOff>
    </xdr:to>
    <mc:AlternateContent xmlns:mc="http://schemas.openxmlformats.org/markup-compatibility/2006">
      <mc:Choice xmlns:a14="http://schemas.microsoft.com/office/drawing/2010/main" Requires="a14">
        <xdr:graphicFrame macro="">
          <xdr:nvGraphicFramePr>
            <xdr:cNvPr id="15" name="Interview">
              <a:extLst>
                <a:ext uri="{FF2B5EF4-FFF2-40B4-BE49-F238E27FC236}">
                  <a16:creationId xmlns:a16="http://schemas.microsoft.com/office/drawing/2014/main" id="{E886FA92-EB68-0A15-21FB-ACF47E8CC79D}"/>
                </a:ext>
              </a:extLst>
            </xdr:cNvPr>
            <xdr:cNvGraphicFramePr/>
          </xdr:nvGraphicFramePr>
          <xdr:xfrm>
            <a:off x="0" y="0"/>
            <a:ext cx="0" cy="0"/>
          </xdr:xfrm>
          <a:graphic>
            <a:graphicData uri="http://schemas.microsoft.com/office/drawing/2010/slicer">
              <sle:slicer xmlns:sle="http://schemas.microsoft.com/office/drawing/2010/slicer" name="Interview"/>
            </a:graphicData>
          </a:graphic>
        </xdr:graphicFrame>
      </mc:Choice>
      <mc:Fallback>
        <xdr:sp macro="" textlink="">
          <xdr:nvSpPr>
            <xdr:cNvPr id="0" name=""/>
            <xdr:cNvSpPr>
              <a:spLocks noTextEdit="1"/>
            </xdr:cNvSpPr>
          </xdr:nvSpPr>
          <xdr:spPr>
            <a:xfrm>
              <a:off x="11029950"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xdr:colOff>
      <xdr:row>16</xdr:row>
      <xdr:rowOff>76200</xdr:rowOff>
    </xdr:from>
    <xdr:to>
      <xdr:col>9</xdr:col>
      <xdr:colOff>57150</xdr:colOff>
      <xdr:row>29</xdr:row>
      <xdr:rowOff>123825</xdr:rowOff>
    </xdr:to>
    <mc:AlternateContent xmlns:mc="http://schemas.openxmlformats.org/markup-compatibility/2006">
      <mc:Choice xmlns:a14="http://schemas.microsoft.com/office/drawing/2010/main" Requires="a14">
        <xdr:graphicFrame macro="">
          <xdr:nvGraphicFramePr>
            <xdr:cNvPr id="16" name="Offer">
              <a:extLst>
                <a:ext uri="{FF2B5EF4-FFF2-40B4-BE49-F238E27FC236}">
                  <a16:creationId xmlns:a16="http://schemas.microsoft.com/office/drawing/2014/main" id="{0D6FD0FB-9E37-E879-5061-FA6D3E104A96}"/>
                </a:ext>
              </a:extLst>
            </xdr:cNvPr>
            <xdr:cNvGraphicFramePr/>
          </xdr:nvGraphicFramePr>
          <xdr:xfrm>
            <a:off x="0" y="0"/>
            <a:ext cx="0" cy="0"/>
          </xdr:xfrm>
          <a:graphic>
            <a:graphicData uri="http://schemas.microsoft.com/office/drawing/2010/slicer">
              <sle:slicer xmlns:sle="http://schemas.microsoft.com/office/drawing/2010/slicer" name="Offer"/>
            </a:graphicData>
          </a:graphic>
        </xdr:graphicFrame>
      </mc:Choice>
      <mc:Fallback>
        <xdr:sp macro="" textlink="">
          <xdr:nvSpPr>
            <xdr:cNvPr id="0" name=""/>
            <xdr:cNvSpPr>
              <a:spLocks noTextEdit="1"/>
            </xdr:cNvSpPr>
          </xdr:nvSpPr>
          <xdr:spPr>
            <a:xfrm>
              <a:off x="3981450" y="3124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600075</xdr:colOff>
      <xdr:row>18</xdr:row>
      <xdr:rowOff>19050</xdr:rowOff>
    </xdr:from>
    <xdr:to>
      <xdr:col>14</xdr:col>
      <xdr:colOff>600075</xdr:colOff>
      <xdr:row>31</xdr:row>
      <xdr:rowOff>66675</xdr:rowOff>
    </xdr:to>
    <mc:AlternateContent xmlns:mc="http://schemas.openxmlformats.org/markup-compatibility/2006">
      <mc:Choice xmlns:a14="http://schemas.microsoft.com/office/drawing/2010/main" Requires="a14">
        <xdr:graphicFrame macro="">
          <xdr:nvGraphicFramePr>
            <xdr:cNvPr id="17" name="Joined">
              <a:extLst>
                <a:ext uri="{FF2B5EF4-FFF2-40B4-BE49-F238E27FC236}">
                  <a16:creationId xmlns:a16="http://schemas.microsoft.com/office/drawing/2014/main" id="{E2E2AB40-9828-99F0-AC46-A90E9EC19F47}"/>
                </a:ext>
              </a:extLst>
            </xdr:cNvPr>
            <xdr:cNvGraphicFramePr/>
          </xdr:nvGraphicFramePr>
          <xdr:xfrm>
            <a:off x="0" y="0"/>
            <a:ext cx="0" cy="0"/>
          </xdr:xfrm>
          <a:graphic>
            <a:graphicData uri="http://schemas.microsoft.com/office/drawing/2010/slicer">
              <sle:slicer xmlns:sle="http://schemas.microsoft.com/office/drawing/2010/slicer" name="Joined"/>
            </a:graphicData>
          </a:graphic>
        </xdr:graphicFrame>
      </mc:Choice>
      <mc:Fallback>
        <xdr:sp macro="" textlink="">
          <xdr:nvSpPr>
            <xdr:cNvPr id="0" name=""/>
            <xdr:cNvSpPr>
              <a:spLocks noTextEdit="1"/>
            </xdr:cNvSpPr>
          </xdr:nvSpPr>
          <xdr:spPr>
            <a:xfrm>
              <a:off x="7572375" y="344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09.883249768522" createdVersion="8" refreshedVersion="8" minRefreshableVersion="3" recordCount="19" xr:uid="{9AAFB12F-AB8F-4DF8-B434-A8AE826B55DA}">
  <cacheSource type="worksheet">
    <worksheetSource ref="A1:I20" sheet="Pivot table"/>
  </cacheSource>
  <cacheFields count="9">
    <cacheField name="EMPLOYEE ID" numFmtId="0">
      <sharedItems containsNonDate="0" containsString="0" containsBlank="1" count="1">
        <m/>
      </sharedItems>
    </cacheField>
    <cacheField name="EMPLOYEE NAME" numFmtId="0">
      <sharedItems count="19">
        <s v="Loganayaki"/>
        <s v="Suresh"/>
        <s v="Mithra"/>
        <s v="Maha"/>
        <s v="Divya"/>
        <s v="Dhana"/>
        <s v="Arjun"/>
        <s v="Mathi"/>
        <s v="Meena"/>
        <s v="Nisha"/>
        <s v="Anitha"/>
        <s v="Deepa"/>
        <s v="Mohan"/>
        <s v="Sanjay"/>
        <s v="Sneha"/>
        <s v="Pooja"/>
        <s v="Gokul"/>
        <s v="Keerthana"/>
        <s v="Haritha"/>
      </sharedItems>
    </cacheField>
    <cacheField name="DEPARTMENT" numFmtId="0">
      <sharedItems count="5">
        <s v="HR"/>
        <s v="Finance"/>
        <s v="Sales"/>
        <s v="IT"/>
        <s v="Marketing"/>
      </sharedItems>
    </cacheField>
    <cacheField name="PRESENT" numFmtId="0">
      <sharedItems containsSemiMixedTypes="0" containsString="0" containsNumber="1" containsInteger="1" minValue="13" maxValue="26"/>
    </cacheField>
    <cacheField name="ABSENT" numFmtId="0">
      <sharedItems containsSemiMixedTypes="0" containsString="0" containsNumber="1" containsInteger="1" minValue="0" maxValue="10"/>
    </cacheField>
    <cacheField name="LEAVE" numFmtId="0">
      <sharedItems containsSemiMixedTypes="0" containsString="0" containsNumber="1" containsInteger="1" minValue="0" maxValue="6"/>
    </cacheField>
    <cacheField name="LATE" numFmtId="0">
      <sharedItems containsSemiMixedTypes="0" containsString="0" containsNumber="1" containsInteger="1" minValue="0" maxValue="2"/>
    </cacheField>
    <cacheField name="TOTAL WORKING DAYS" numFmtId="0">
      <sharedItems containsSemiMixedTypes="0" containsString="0" containsNumber="1" containsInteger="1" minValue="26" maxValue="26"/>
    </cacheField>
    <cacheField name="ATTENDANCE %" numFmtId="2">
      <sharedItems containsSemiMixedTypes="0" containsString="0" containsNumber="1" minValue="50"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09.924171527775" createdVersion="8" refreshedVersion="8" minRefreshableVersion="3" recordCount="11" xr:uid="{F4EF3E7B-1D4D-4855-8C68-7B2BBF5BD128}">
  <cacheSource type="worksheet">
    <worksheetSource ref="A1:G1048576" sheet="countif"/>
  </cacheSource>
  <cacheFields count="7">
    <cacheField name="candidate ID" numFmtId="0">
      <sharedItems containsBlank="1" count="11">
        <s v="C001"/>
        <s v="C002"/>
        <s v="C003"/>
        <s v="C004"/>
        <s v="C005"/>
        <s v="C006"/>
        <s v="C007"/>
        <s v="C008"/>
        <s v="C009"/>
        <s v="C010"/>
        <m/>
      </sharedItems>
    </cacheField>
    <cacheField name="Candidate  Name" numFmtId="0">
      <sharedItems containsBlank="1" count="11">
        <s v="Arun"/>
        <s v="Priya"/>
        <s v="Karthik"/>
        <s v="Divya"/>
        <s v="Ajay"/>
        <s v="Sneha"/>
        <s v="Harish"/>
        <s v="Pooja"/>
        <s v="Gokul"/>
        <s v="Nisha"/>
        <m/>
      </sharedItems>
    </cacheField>
    <cacheField name="Department" numFmtId="0">
      <sharedItems containsBlank="1" count="6">
        <s v="IT"/>
        <s v="HR"/>
        <s v="Finance"/>
        <s v="Sales"/>
        <s v="Marketing"/>
        <m/>
      </sharedItems>
    </cacheField>
    <cacheField name="Recruiter" numFmtId="0">
      <sharedItems containsBlank="1" count="11">
        <s v="Ravi"/>
        <s v="Meena"/>
        <s v="Kumar"/>
        <s v="Mathi"/>
        <s v="Mithra"/>
        <s v="Shivani"/>
        <s v="Logu"/>
        <s v="Misha"/>
        <s v="Renu"/>
        <s v="Aishu"/>
        <m/>
      </sharedItems>
    </cacheField>
    <cacheField name="Interview" numFmtId="0">
      <sharedItems containsBlank="1" count="3">
        <s v="yes"/>
        <s v="no"/>
        <m/>
      </sharedItems>
    </cacheField>
    <cacheField name="Offer" numFmtId="0">
      <sharedItems containsBlank="1" count="3">
        <s v="yes"/>
        <s v="no"/>
        <m/>
      </sharedItems>
    </cacheField>
    <cacheField name="Joined" numFmtId="0">
      <sharedItems containsBlank="1" count="3">
        <s v="yes"/>
        <s v="no"/>
        <m/>
      </sharedItems>
    </cacheField>
  </cacheFields>
  <extLst>
    <ext xmlns:x14="http://schemas.microsoft.com/office/spreadsheetml/2009/9/main" uri="{725AE2AE-9491-48be-B2B4-4EB974FC3084}">
      <x14:pivotCacheDefinition pivotCacheId="834250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x v="0"/>
    <n v="22"/>
    <n v="2"/>
    <n v="2"/>
    <n v="1"/>
    <n v="26"/>
    <n v="84.615384615384613"/>
  </r>
  <r>
    <x v="0"/>
    <x v="1"/>
    <x v="1"/>
    <n v="24"/>
    <n v="1"/>
    <n v="1"/>
    <n v="0"/>
    <n v="26"/>
    <n v="92.307692307692307"/>
  </r>
  <r>
    <x v="0"/>
    <x v="2"/>
    <x v="2"/>
    <n v="20"/>
    <n v="4"/>
    <n v="2"/>
    <n v="0"/>
    <n v="26"/>
    <n v="76.923076923076934"/>
  </r>
  <r>
    <x v="0"/>
    <x v="3"/>
    <x v="3"/>
    <n v="25"/>
    <n v="0"/>
    <n v="0"/>
    <n v="1"/>
    <n v="26"/>
    <n v="96.15384615384616"/>
  </r>
  <r>
    <x v="0"/>
    <x v="4"/>
    <x v="0"/>
    <n v="21"/>
    <n v="3"/>
    <n v="1"/>
    <n v="1"/>
    <n v="26"/>
    <n v="80.769230769230774"/>
  </r>
  <r>
    <x v="0"/>
    <x v="5"/>
    <x v="4"/>
    <n v="23"/>
    <n v="1"/>
    <n v="2"/>
    <n v="0"/>
    <n v="26"/>
    <n v="88.461538461538453"/>
  </r>
  <r>
    <x v="0"/>
    <x v="6"/>
    <x v="3"/>
    <n v="24"/>
    <n v="1"/>
    <n v="1"/>
    <n v="0"/>
    <n v="26"/>
    <n v="92.307692307692307"/>
  </r>
  <r>
    <x v="0"/>
    <x v="7"/>
    <x v="0"/>
    <n v="19"/>
    <n v="5"/>
    <n v="2"/>
    <n v="0"/>
    <n v="26"/>
    <n v="73.076923076923066"/>
  </r>
  <r>
    <x v="0"/>
    <x v="8"/>
    <x v="1"/>
    <n v="22"/>
    <n v="0"/>
    <n v="2"/>
    <n v="1"/>
    <n v="26"/>
    <n v="84.615384615384613"/>
  </r>
  <r>
    <x v="0"/>
    <x v="9"/>
    <x v="2"/>
    <n v="26"/>
    <n v="0"/>
    <n v="0"/>
    <n v="0"/>
    <n v="26"/>
    <n v="100"/>
  </r>
  <r>
    <x v="0"/>
    <x v="10"/>
    <x v="3"/>
    <n v="23"/>
    <n v="2"/>
    <n v="1"/>
    <n v="0"/>
    <n v="26"/>
    <n v="88.461538461538453"/>
  </r>
  <r>
    <x v="0"/>
    <x v="11"/>
    <x v="0"/>
    <n v="20"/>
    <n v="3"/>
    <n v="2"/>
    <n v="1"/>
    <n v="26"/>
    <n v="76.923076923076934"/>
  </r>
  <r>
    <x v="0"/>
    <x v="12"/>
    <x v="4"/>
    <n v="24"/>
    <n v="1"/>
    <n v="0"/>
    <n v="2"/>
    <n v="26"/>
    <n v="92.307692307692307"/>
  </r>
  <r>
    <x v="0"/>
    <x v="13"/>
    <x v="0"/>
    <n v="21"/>
    <n v="1"/>
    <n v="3"/>
    <n v="1"/>
    <n v="26"/>
    <n v="80.769230769230774"/>
  </r>
  <r>
    <x v="0"/>
    <x v="14"/>
    <x v="1"/>
    <n v="25"/>
    <n v="0"/>
    <n v="0"/>
    <n v="2"/>
    <n v="26"/>
    <n v="96.15384615384616"/>
  </r>
  <r>
    <x v="0"/>
    <x v="15"/>
    <x v="2"/>
    <n v="18"/>
    <n v="6"/>
    <n v="2"/>
    <n v="0"/>
    <n v="26"/>
    <n v="69.230769230769226"/>
  </r>
  <r>
    <x v="0"/>
    <x v="16"/>
    <x v="3"/>
    <n v="24"/>
    <n v="1"/>
    <n v="1"/>
    <n v="0"/>
    <n v="26"/>
    <n v="92.307692307692307"/>
  </r>
  <r>
    <x v="0"/>
    <x v="17"/>
    <x v="0"/>
    <n v="13"/>
    <n v="5"/>
    <n v="6"/>
    <n v="2"/>
    <n v="26"/>
    <n v="50"/>
  </r>
  <r>
    <x v="0"/>
    <x v="18"/>
    <x v="4"/>
    <n v="15"/>
    <n v="10"/>
    <n v="1"/>
    <n v="0"/>
    <n v="26"/>
    <n v="57.6923076923076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x v="0"/>
    <x v="0"/>
    <x v="0"/>
    <x v="0"/>
  </r>
  <r>
    <x v="1"/>
    <x v="1"/>
    <x v="1"/>
    <x v="1"/>
    <x v="0"/>
    <x v="1"/>
    <x v="1"/>
  </r>
  <r>
    <x v="2"/>
    <x v="2"/>
    <x v="2"/>
    <x v="2"/>
    <x v="1"/>
    <x v="0"/>
    <x v="0"/>
  </r>
  <r>
    <x v="3"/>
    <x v="3"/>
    <x v="3"/>
    <x v="3"/>
    <x v="1"/>
    <x v="1"/>
    <x v="1"/>
  </r>
  <r>
    <x v="4"/>
    <x v="4"/>
    <x v="4"/>
    <x v="4"/>
    <x v="0"/>
    <x v="0"/>
    <x v="1"/>
  </r>
  <r>
    <x v="5"/>
    <x v="5"/>
    <x v="0"/>
    <x v="5"/>
    <x v="1"/>
    <x v="0"/>
    <x v="1"/>
  </r>
  <r>
    <x v="6"/>
    <x v="6"/>
    <x v="1"/>
    <x v="6"/>
    <x v="0"/>
    <x v="0"/>
    <x v="0"/>
  </r>
  <r>
    <x v="7"/>
    <x v="7"/>
    <x v="2"/>
    <x v="7"/>
    <x v="1"/>
    <x v="1"/>
    <x v="0"/>
  </r>
  <r>
    <x v="8"/>
    <x v="8"/>
    <x v="3"/>
    <x v="8"/>
    <x v="0"/>
    <x v="1"/>
    <x v="0"/>
  </r>
  <r>
    <x v="9"/>
    <x v="9"/>
    <x v="4"/>
    <x v="9"/>
    <x v="0"/>
    <x v="0"/>
    <x v="1"/>
  </r>
  <r>
    <x v="10"/>
    <x v="10"/>
    <x v="5"/>
    <x v="10"/>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952581-FC92-4EBB-A85D-083EE13AB34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43" firstHeaderRow="0" firstDataRow="1" firstDataCol="1"/>
  <pivotFields count="9">
    <pivotField axis="axisRow" showAll="0">
      <items count="2">
        <item x="0"/>
        <item t="default"/>
      </items>
    </pivotField>
    <pivotField axis="axisRow" showAll="0">
      <items count="20">
        <item x="10"/>
        <item x="6"/>
        <item x="11"/>
        <item x="5"/>
        <item x="4"/>
        <item x="16"/>
        <item x="18"/>
        <item x="17"/>
        <item x="0"/>
        <item x="3"/>
        <item x="7"/>
        <item x="8"/>
        <item x="2"/>
        <item x="12"/>
        <item x="9"/>
        <item x="15"/>
        <item x="13"/>
        <item x="14"/>
        <item x="1"/>
        <item t="default"/>
      </items>
    </pivotField>
    <pivotField axis="axisRow" showAll="0">
      <items count="6">
        <item x="1"/>
        <item x="0"/>
        <item x="3"/>
        <item x="4"/>
        <item x="2"/>
        <item t="default"/>
      </items>
    </pivotField>
    <pivotField dataField="1" showAll="0"/>
    <pivotField dataField="1" showAll="0"/>
    <pivotField dataField="1" showAll="0"/>
    <pivotField dataField="1" showAll="0"/>
    <pivotField dataField="1" showAll="0"/>
    <pivotField dataField="1" numFmtId="2" showAll="0"/>
  </pivotFields>
  <rowFields count="3">
    <field x="0"/>
    <field x="1"/>
    <field x="2"/>
  </rowFields>
  <rowItems count="40">
    <i>
      <x/>
    </i>
    <i r="1">
      <x/>
    </i>
    <i r="2">
      <x v="2"/>
    </i>
    <i r="1">
      <x v="1"/>
    </i>
    <i r="2">
      <x v="2"/>
    </i>
    <i r="1">
      <x v="2"/>
    </i>
    <i r="2">
      <x v="1"/>
    </i>
    <i r="1">
      <x v="3"/>
    </i>
    <i r="2">
      <x v="3"/>
    </i>
    <i r="1">
      <x v="4"/>
    </i>
    <i r="2">
      <x v="1"/>
    </i>
    <i r="1">
      <x v="5"/>
    </i>
    <i r="2">
      <x v="2"/>
    </i>
    <i r="1">
      <x v="6"/>
    </i>
    <i r="2">
      <x v="3"/>
    </i>
    <i r="1">
      <x v="7"/>
    </i>
    <i r="2">
      <x v="1"/>
    </i>
    <i r="1">
      <x v="8"/>
    </i>
    <i r="2">
      <x v="1"/>
    </i>
    <i r="1">
      <x v="9"/>
    </i>
    <i r="2">
      <x v="2"/>
    </i>
    <i r="1">
      <x v="10"/>
    </i>
    <i r="2">
      <x v="1"/>
    </i>
    <i r="1">
      <x v="11"/>
    </i>
    <i r="2">
      <x/>
    </i>
    <i r="1">
      <x v="12"/>
    </i>
    <i r="2">
      <x v="4"/>
    </i>
    <i r="1">
      <x v="13"/>
    </i>
    <i r="2">
      <x v="3"/>
    </i>
    <i r="1">
      <x v="14"/>
    </i>
    <i r="2">
      <x v="4"/>
    </i>
    <i r="1">
      <x v="15"/>
    </i>
    <i r="2">
      <x v="4"/>
    </i>
    <i r="1">
      <x v="16"/>
    </i>
    <i r="2">
      <x v="1"/>
    </i>
    <i r="1">
      <x v="17"/>
    </i>
    <i r="2">
      <x/>
    </i>
    <i r="1">
      <x v="18"/>
    </i>
    <i r="2">
      <x/>
    </i>
    <i t="grand">
      <x/>
    </i>
  </rowItems>
  <colFields count="1">
    <field x="-2"/>
  </colFields>
  <colItems count="6">
    <i>
      <x/>
    </i>
    <i i="1">
      <x v="1"/>
    </i>
    <i i="2">
      <x v="2"/>
    </i>
    <i i="3">
      <x v="3"/>
    </i>
    <i i="4">
      <x v="4"/>
    </i>
    <i i="5">
      <x v="5"/>
    </i>
  </colItems>
  <dataFields count="6">
    <dataField name="Sum of PRESENT" fld="3" baseField="0" baseItem="0"/>
    <dataField name="Sum of ABSENT" fld="4" baseField="0" baseItem="0"/>
    <dataField name="Sum of LEAVE" fld="5" baseField="0" baseItem="0"/>
    <dataField name="Sum of LATE" fld="6" baseField="0" baseItem="0"/>
    <dataField name="Sum of TOTAL WORKING DAYS" fld="7" baseField="0" baseItem="0"/>
    <dataField name="Sum of ATTENDANCE %" fld="8" baseField="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76BD37-E567-4210-AC01-1A4E93DDF052}" name="PivotTable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8" firstHeaderRow="1" firstDataRow="1" firstDataCol="1"/>
  <pivotFields count="7">
    <pivotField dataField="1" showAll="0"/>
    <pivotField showAll="0"/>
    <pivotField axis="axisRow" showAll="0">
      <items count="7">
        <item x="2"/>
        <item x="1"/>
        <item x="0"/>
        <item x="4"/>
        <item x="3"/>
        <item x="5"/>
        <item t="default"/>
      </items>
    </pivotField>
    <pivotField showAll="0"/>
    <pivotField showAll="0"/>
    <pivotField axis="axisRow" showAll="0">
      <items count="4">
        <item x="1"/>
        <item x="0"/>
        <item x="2"/>
        <item t="default"/>
      </items>
    </pivotField>
    <pivotField showAll="0"/>
  </pivotFields>
  <rowFields count="2">
    <field x="2"/>
    <field x="5"/>
  </rowFields>
  <rowItems count="15">
    <i>
      <x/>
    </i>
    <i r="1">
      <x/>
    </i>
    <i r="1">
      <x v="1"/>
    </i>
    <i>
      <x v="1"/>
    </i>
    <i r="1">
      <x/>
    </i>
    <i r="1">
      <x v="1"/>
    </i>
    <i>
      <x v="2"/>
    </i>
    <i r="1">
      <x v="1"/>
    </i>
    <i>
      <x v="3"/>
    </i>
    <i r="1">
      <x v="1"/>
    </i>
    <i>
      <x v="4"/>
    </i>
    <i r="1">
      <x/>
    </i>
    <i>
      <x v="5"/>
    </i>
    <i r="1">
      <x v="2"/>
    </i>
    <i t="grand">
      <x/>
    </i>
  </rowItems>
  <colItems count="1">
    <i/>
  </colItems>
  <dataFields count="1">
    <dataField name="Count of candidate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9621CB-9007-4FAA-9CF9-636ADF8D5251}" name="PivotTable9"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A36" firstHeaderRow="1" firstDataRow="1" firstDataCol="1"/>
  <pivotFields count="7">
    <pivotField showAll="0">
      <items count="12">
        <item x="0"/>
        <item x="1"/>
        <item x="2"/>
        <item x="3"/>
        <item x="4"/>
        <item x="5"/>
        <item x="6"/>
        <item x="7"/>
        <item x="8"/>
        <item x="9"/>
        <item x="10"/>
        <item t="default"/>
      </items>
    </pivotField>
    <pivotField axis="axisRow" showAll="0">
      <items count="12">
        <item x="4"/>
        <item x="0"/>
        <item x="3"/>
        <item x="8"/>
        <item x="6"/>
        <item x="2"/>
        <item x="9"/>
        <item x="7"/>
        <item x="1"/>
        <item x="5"/>
        <item x="10"/>
        <item t="default"/>
      </items>
    </pivotField>
    <pivotField showAll="0">
      <items count="7">
        <item x="2"/>
        <item x="1"/>
        <item x="0"/>
        <item x="4"/>
        <item x="3"/>
        <item x="5"/>
        <item t="default"/>
      </items>
    </pivotField>
    <pivotField axis="axisRow" showAll="0">
      <items count="12">
        <item x="9"/>
        <item x="2"/>
        <item x="6"/>
        <item x="3"/>
        <item x="1"/>
        <item x="7"/>
        <item x="4"/>
        <item x="0"/>
        <item x="8"/>
        <item x="5"/>
        <item x="10"/>
        <item t="default"/>
      </items>
    </pivotField>
    <pivotField showAll="0">
      <items count="4">
        <item x="1"/>
        <item x="0"/>
        <item x="2"/>
        <item t="default"/>
      </items>
    </pivotField>
    <pivotField axis="axisRow" showAll="0">
      <items count="4">
        <item sd="0" x="1"/>
        <item sd="0" x="0"/>
        <item sd="0" x="2"/>
        <item t="default" sd="0"/>
      </items>
    </pivotField>
    <pivotField axis="axisRow" showAll="0">
      <items count="4">
        <item x="1"/>
        <item x="0"/>
        <item x="2"/>
        <item t="default"/>
      </items>
    </pivotField>
  </pivotFields>
  <rowFields count="4">
    <field x="3"/>
    <field x="1"/>
    <field x="5"/>
    <field x="6"/>
  </rowFields>
  <rowItems count="34">
    <i>
      <x/>
    </i>
    <i r="1">
      <x v="6"/>
    </i>
    <i r="2">
      <x v="1"/>
    </i>
    <i>
      <x v="1"/>
    </i>
    <i r="1">
      <x v="5"/>
    </i>
    <i r="2">
      <x v="1"/>
    </i>
    <i>
      <x v="2"/>
    </i>
    <i r="1">
      <x v="4"/>
    </i>
    <i r="2">
      <x v="1"/>
    </i>
    <i>
      <x v="3"/>
    </i>
    <i r="1">
      <x v="2"/>
    </i>
    <i r="2">
      <x/>
    </i>
    <i>
      <x v="4"/>
    </i>
    <i r="1">
      <x v="8"/>
    </i>
    <i r="2">
      <x/>
    </i>
    <i>
      <x v="5"/>
    </i>
    <i r="1">
      <x v="7"/>
    </i>
    <i r="2">
      <x/>
    </i>
    <i>
      <x v="6"/>
    </i>
    <i r="1">
      <x/>
    </i>
    <i r="2">
      <x v="1"/>
    </i>
    <i>
      <x v="7"/>
    </i>
    <i r="1">
      <x v="1"/>
    </i>
    <i r="2">
      <x v="1"/>
    </i>
    <i>
      <x v="8"/>
    </i>
    <i r="1">
      <x v="3"/>
    </i>
    <i r="2">
      <x/>
    </i>
    <i>
      <x v="9"/>
    </i>
    <i r="1">
      <x v="9"/>
    </i>
    <i r="2">
      <x v="1"/>
    </i>
    <i>
      <x v="10"/>
    </i>
    <i r="1">
      <x v="10"/>
    </i>
    <i r="2">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didate_ID" xr10:uid="{C3E22677-32D1-485E-8A54-EE2D19087AA8}" sourceName="candidate ID">
  <pivotTables>
    <pivotTable tabId="10" name="PivotTable9"/>
  </pivotTables>
  <data>
    <tabular pivotCacheId="834250644">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didate__Name" xr10:uid="{71EB78E0-F97E-469F-93AE-BC56620C6EB5}" sourceName="Candidate  Name">
  <pivotTables>
    <pivotTable tabId="10" name="PivotTable9"/>
  </pivotTables>
  <data>
    <tabular pivotCacheId="834250644">
      <items count="11">
        <i x="4" s="1"/>
        <i x="0" s="1"/>
        <i x="3" s="1"/>
        <i x="8" s="1"/>
        <i x="6" s="1"/>
        <i x="2" s="1"/>
        <i x="9" s="1"/>
        <i x="7" s="1"/>
        <i x="1" s="1"/>
        <i x="5"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EEBB35-9923-4060-907E-65D4E5BFAB4C}" sourceName="Department">
  <pivotTables>
    <pivotTable tabId="10" name="PivotTable9"/>
  </pivotTables>
  <data>
    <tabular pivotCacheId="834250644">
      <items count="6">
        <i x="2" s="1"/>
        <i x="1" s="1"/>
        <i x="0" s="1"/>
        <i x="4"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 xr10:uid="{FA000C67-6142-4B0C-9D7D-A5CF8F3E1975}" sourceName="Recruiter">
  <pivotTables>
    <pivotTable tabId="10" name="PivotTable9"/>
  </pivotTables>
  <data>
    <tabular pivotCacheId="834250644">
      <items count="11">
        <i x="9" s="1"/>
        <i x="2" s="1"/>
        <i x="6" s="1"/>
        <i x="3" s="1"/>
        <i x="1" s="1"/>
        <i x="7" s="1"/>
        <i x="4" s="1"/>
        <i x="0" s="1"/>
        <i x="8" s="1"/>
        <i x="5"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view" xr10:uid="{C39441FF-D241-4528-BA37-B94C19E5D44E}" sourceName="Interview">
  <pivotTables>
    <pivotTable tabId="10" name="PivotTable9"/>
  </pivotTables>
  <data>
    <tabular pivotCacheId="834250644">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er" xr10:uid="{2641EADD-82C4-4DB6-B73C-43BAF6942E0F}" sourceName="Offer">
  <pivotTables>
    <pivotTable tabId="10" name="PivotTable9"/>
  </pivotTables>
  <data>
    <tabular pivotCacheId="834250644">
      <items count="3">
        <i x="1"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ed" xr10:uid="{D346AC69-3B93-43B8-9266-791D7C80308B}" sourceName="Joined">
  <pivotTables>
    <pivotTable tabId="10" name="PivotTable9"/>
  </pivotTables>
  <data>
    <tabular pivotCacheId="83425064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didate ID" xr10:uid="{3CEB7EC3-9380-40E5-BB2A-41E9416A543F}" cache="Slicer_candidate_ID" caption="candidate ID" rowHeight="241300"/>
  <slicer name="Candidate  Name" xr10:uid="{3B74A8FE-2D2C-43DC-903D-F17ABF46D0C1}" cache="Slicer_Candidate__Name" caption="Candidate  Name" rowHeight="241300"/>
  <slicer name="Department" xr10:uid="{DF106A02-BA4C-4B8F-B2ED-509122FBF9F4}" cache="Slicer_Department" caption="Department" rowHeight="241300"/>
  <slicer name="Recruiter" xr10:uid="{A3714DF7-77E0-499F-9A6D-F25A09E700EC}" cache="Slicer_Recruiter" caption="Recruiter" rowHeight="241300"/>
  <slicer name="Interview" xr10:uid="{38A06FA6-AF92-4B64-BCC7-250C3F92ADC8}" cache="Slicer_Interview" caption="Interview" rowHeight="241300"/>
  <slicer name="Offer" xr10:uid="{42D3D282-CE3E-4D2A-8DE5-ABA9035D98AE}" cache="Slicer_Offer" caption="Offer" rowHeight="241300"/>
  <slicer name="Joined" xr10:uid="{8F8BAEFE-81EC-43D9-ACA3-DB63CEBC25F8}" cache="Slicer_Joined" caption="Joine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93B19-5DB1-452C-BB81-6B3635AFEB1A}">
  <dimension ref="A1:I20"/>
  <sheetViews>
    <sheetView workbookViewId="0">
      <selection activeCell="I2" sqref="I2"/>
    </sheetView>
  </sheetViews>
  <sheetFormatPr defaultRowHeight="15" x14ac:dyDescent="0.25"/>
  <cols>
    <col min="1" max="1" width="12.42578125" bestFit="1" customWidth="1"/>
    <col min="2" max="2" width="16.140625" bestFit="1" customWidth="1"/>
    <col min="3" max="3" width="13.140625" bestFit="1" customWidth="1"/>
    <col min="8" max="8" width="21.140625" bestFit="1" customWidth="1"/>
    <col min="9" max="9" width="15" bestFit="1" customWidth="1"/>
  </cols>
  <sheetData>
    <row r="1" spans="1:9" x14ac:dyDescent="0.25">
      <c r="A1" s="10" t="s">
        <v>0</v>
      </c>
      <c r="B1" s="10" t="s">
        <v>1</v>
      </c>
      <c r="C1" s="10" t="s">
        <v>2</v>
      </c>
      <c r="D1" s="10" t="s">
        <v>3</v>
      </c>
      <c r="E1" s="10" t="s">
        <v>4</v>
      </c>
      <c r="F1" s="10" t="s">
        <v>5</v>
      </c>
      <c r="G1" s="10" t="s">
        <v>6</v>
      </c>
      <c r="H1" s="10" t="s">
        <v>7</v>
      </c>
      <c r="I1" s="10" t="s">
        <v>10</v>
      </c>
    </row>
    <row r="2" spans="1:9" x14ac:dyDescent="0.25">
      <c r="A2" s="7" t="s">
        <v>42</v>
      </c>
      <c r="B2" s="7" t="s">
        <v>8</v>
      </c>
      <c r="C2" s="7" t="s">
        <v>9</v>
      </c>
      <c r="D2" s="7">
        <v>22</v>
      </c>
      <c r="E2" s="7">
        <v>2</v>
      </c>
      <c r="F2" s="7">
        <v>2</v>
      </c>
      <c r="G2" s="7">
        <v>1</v>
      </c>
      <c r="H2" s="7">
        <v>26</v>
      </c>
      <c r="I2" s="8">
        <f>D2/H2*100</f>
        <v>84.615384615384613</v>
      </c>
    </row>
    <row r="3" spans="1:9" x14ac:dyDescent="0.25">
      <c r="A3" s="7" t="s">
        <v>43</v>
      </c>
      <c r="B3" s="7" t="s">
        <v>27</v>
      </c>
      <c r="C3" s="7" t="s">
        <v>61</v>
      </c>
      <c r="D3" s="7">
        <v>24</v>
      </c>
      <c r="E3" s="7">
        <v>1</v>
      </c>
      <c r="F3" s="7">
        <v>1</v>
      </c>
      <c r="G3" s="7">
        <v>0</v>
      </c>
      <c r="H3" s="7">
        <v>26</v>
      </c>
      <c r="I3" s="8">
        <f t="shared" ref="I3:I20" si="0">D3/H3*100</f>
        <v>92.307692307692307</v>
      </c>
    </row>
    <row r="4" spans="1:9" x14ac:dyDescent="0.25">
      <c r="A4" s="7" t="s">
        <v>44</v>
      </c>
      <c r="B4" s="7" t="s">
        <v>11</v>
      </c>
      <c r="C4" s="7" t="s">
        <v>32</v>
      </c>
      <c r="D4" s="7">
        <v>20</v>
      </c>
      <c r="E4" s="7">
        <v>4</v>
      </c>
      <c r="F4" s="7">
        <v>2</v>
      </c>
      <c r="G4" s="7">
        <v>0</v>
      </c>
      <c r="H4" s="7">
        <v>26</v>
      </c>
      <c r="I4" s="8">
        <f t="shared" si="0"/>
        <v>76.923076923076934</v>
      </c>
    </row>
    <row r="5" spans="1:9" x14ac:dyDescent="0.25">
      <c r="A5" s="7" t="s">
        <v>45</v>
      </c>
      <c r="B5" s="7" t="s">
        <v>12</v>
      </c>
      <c r="C5" s="7" t="s">
        <v>9</v>
      </c>
      <c r="D5" s="7">
        <v>25</v>
      </c>
      <c r="E5" s="7">
        <v>0</v>
      </c>
      <c r="F5" s="7">
        <v>0</v>
      </c>
      <c r="G5" s="7">
        <v>1</v>
      </c>
      <c r="H5" s="7">
        <v>26</v>
      </c>
      <c r="I5" s="8">
        <f>D5/H5*100</f>
        <v>96.15384615384616</v>
      </c>
    </row>
    <row r="6" spans="1:9" x14ac:dyDescent="0.25">
      <c r="A6" s="7" t="s">
        <v>46</v>
      </c>
      <c r="B6" s="7" t="s">
        <v>13</v>
      </c>
      <c r="C6" s="7" t="s">
        <v>61</v>
      </c>
      <c r="D6" s="7">
        <v>21</v>
      </c>
      <c r="E6" s="7">
        <v>3</v>
      </c>
      <c r="F6" s="7">
        <v>1</v>
      </c>
      <c r="G6" s="7">
        <v>1</v>
      </c>
      <c r="H6" s="7">
        <v>26</v>
      </c>
      <c r="I6" s="8">
        <f t="shared" si="0"/>
        <v>80.769230769230774</v>
      </c>
    </row>
    <row r="7" spans="1:9" x14ac:dyDescent="0.25">
      <c r="A7" s="7" t="s">
        <v>47</v>
      </c>
      <c r="B7" s="7" t="s">
        <v>14</v>
      </c>
      <c r="C7" s="7" t="s">
        <v>32</v>
      </c>
      <c r="D7" s="7">
        <v>23</v>
      </c>
      <c r="E7" s="7">
        <v>1</v>
      </c>
      <c r="F7" s="7">
        <v>2</v>
      </c>
      <c r="G7" s="7">
        <v>0</v>
      </c>
      <c r="H7" s="7">
        <v>26</v>
      </c>
      <c r="I7" s="8">
        <f t="shared" si="0"/>
        <v>88.461538461538453</v>
      </c>
    </row>
    <row r="8" spans="1:9" x14ac:dyDescent="0.25">
      <c r="A8" s="7" t="s">
        <v>48</v>
      </c>
      <c r="B8" s="7" t="s">
        <v>15</v>
      </c>
      <c r="C8" s="7" t="s">
        <v>31</v>
      </c>
      <c r="D8" s="7">
        <v>24</v>
      </c>
      <c r="E8" s="7">
        <v>1</v>
      </c>
      <c r="F8" s="7">
        <v>1</v>
      </c>
      <c r="G8" s="7">
        <v>0</v>
      </c>
      <c r="H8" s="7">
        <v>26</v>
      </c>
      <c r="I8" s="8">
        <f t="shared" si="0"/>
        <v>92.307692307692307</v>
      </c>
    </row>
    <row r="9" spans="1:9" x14ac:dyDescent="0.25">
      <c r="A9" s="7" t="s">
        <v>49</v>
      </c>
      <c r="B9" s="7" t="s">
        <v>16</v>
      </c>
      <c r="C9" s="7" t="s">
        <v>61</v>
      </c>
      <c r="D9" s="7">
        <v>19</v>
      </c>
      <c r="E9" s="7">
        <v>5</v>
      </c>
      <c r="F9" s="7">
        <v>2</v>
      </c>
      <c r="G9" s="7">
        <v>0</v>
      </c>
      <c r="H9" s="7">
        <v>26</v>
      </c>
      <c r="I9" s="8">
        <f t="shared" si="0"/>
        <v>73.076923076923066</v>
      </c>
    </row>
    <row r="10" spans="1:9" x14ac:dyDescent="0.25">
      <c r="A10" s="7" t="s">
        <v>50</v>
      </c>
      <c r="B10" s="7" t="s">
        <v>17</v>
      </c>
      <c r="C10" s="7" t="s">
        <v>32</v>
      </c>
      <c r="D10" s="7">
        <v>22</v>
      </c>
      <c r="E10" s="7">
        <v>0</v>
      </c>
      <c r="F10" s="7">
        <v>2</v>
      </c>
      <c r="G10" s="7">
        <v>1</v>
      </c>
      <c r="H10" s="7">
        <v>26</v>
      </c>
      <c r="I10" s="8">
        <f t="shared" si="0"/>
        <v>84.615384615384613</v>
      </c>
    </row>
    <row r="11" spans="1:9" x14ac:dyDescent="0.25">
      <c r="A11" s="7" t="s">
        <v>51</v>
      </c>
      <c r="B11" s="7" t="s">
        <v>18</v>
      </c>
      <c r="C11" s="7" t="s">
        <v>31</v>
      </c>
      <c r="D11" s="7">
        <v>26</v>
      </c>
      <c r="E11" s="7">
        <v>0</v>
      </c>
      <c r="F11" s="7">
        <v>0</v>
      </c>
      <c r="G11" s="7">
        <v>0</v>
      </c>
      <c r="H11" s="7">
        <v>26</v>
      </c>
      <c r="I11" s="8">
        <f t="shared" si="0"/>
        <v>100</v>
      </c>
    </row>
    <row r="12" spans="1:9" x14ac:dyDescent="0.25">
      <c r="A12" s="7" t="s">
        <v>52</v>
      </c>
      <c r="B12" s="7" t="s">
        <v>19</v>
      </c>
      <c r="C12" s="7" t="s">
        <v>61</v>
      </c>
      <c r="D12" s="7">
        <v>23</v>
      </c>
      <c r="E12" s="7">
        <v>2</v>
      </c>
      <c r="F12" s="7">
        <v>1</v>
      </c>
      <c r="G12" s="7">
        <v>0</v>
      </c>
      <c r="H12" s="7">
        <v>26</v>
      </c>
      <c r="I12" s="8">
        <f t="shared" si="0"/>
        <v>88.461538461538453</v>
      </c>
    </row>
    <row r="13" spans="1:9" x14ac:dyDescent="0.25">
      <c r="A13" s="7" t="s">
        <v>53</v>
      </c>
      <c r="B13" s="7" t="s">
        <v>20</v>
      </c>
      <c r="C13" s="7" t="s">
        <v>9</v>
      </c>
      <c r="D13" s="7">
        <v>20</v>
      </c>
      <c r="E13" s="7">
        <v>3</v>
      </c>
      <c r="F13" s="7">
        <v>2</v>
      </c>
      <c r="G13" s="7">
        <v>1</v>
      </c>
      <c r="H13" s="7">
        <v>26</v>
      </c>
      <c r="I13" s="8">
        <f t="shared" si="0"/>
        <v>76.923076923076934</v>
      </c>
    </row>
    <row r="14" spans="1:9" x14ac:dyDescent="0.25">
      <c r="A14" s="7" t="s">
        <v>54</v>
      </c>
      <c r="B14" s="7" t="s">
        <v>21</v>
      </c>
      <c r="C14" s="7" t="s">
        <v>61</v>
      </c>
      <c r="D14" s="7">
        <v>24</v>
      </c>
      <c r="E14" s="7">
        <v>1</v>
      </c>
      <c r="F14" s="7">
        <v>0</v>
      </c>
      <c r="G14" s="7">
        <v>2</v>
      </c>
      <c r="H14" s="7">
        <v>26</v>
      </c>
      <c r="I14" s="8">
        <f t="shared" si="0"/>
        <v>92.307692307692307</v>
      </c>
    </row>
    <row r="15" spans="1:9" x14ac:dyDescent="0.25">
      <c r="A15" s="7" t="s">
        <v>55</v>
      </c>
      <c r="B15" s="7" t="s">
        <v>22</v>
      </c>
      <c r="C15" s="7" t="s">
        <v>32</v>
      </c>
      <c r="D15" s="7">
        <v>21</v>
      </c>
      <c r="E15" s="7">
        <v>1</v>
      </c>
      <c r="F15" s="7">
        <v>3</v>
      </c>
      <c r="G15" s="7">
        <v>1</v>
      </c>
      <c r="H15" s="7">
        <v>26</v>
      </c>
      <c r="I15" s="8">
        <f t="shared" si="0"/>
        <v>80.769230769230774</v>
      </c>
    </row>
    <row r="16" spans="1:9" x14ac:dyDescent="0.25">
      <c r="A16" s="7" t="s">
        <v>56</v>
      </c>
      <c r="B16" s="7" t="s">
        <v>23</v>
      </c>
      <c r="C16" s="7" t="s">
        <v>31</v>
      </c>
      <c r="D16" s="7">
        <v>25</v>
      </c>
      <c r="E16" s="7">
        <v>0</v>
      </c>
      <c r="F16" s="7">
        <v>0</v>
      </c>
      <c r="G16" s="7">
        <v>2</v>
      </c>
      <c r="H16" s="7">
        <v>26</v>
      </c>
      <c r="I16" s="8">
        <f t="shared" si="0"/>
        <v>96.15384615384616</v>
      </c>
    </row>
    <row r="17" spans="1:9" x14ac:dyDescent="0.25">
      <c r="A17" s="7" t="s">
        <v>57</v>
      </c>
      <c r="B17" s="7" t="s">
        <v>24</v>
      </c>
      <c r="C17" s="7" t="s">
        <v>9</v>
      </c>
      <c r="D17" s="7">
        <v>18</v>
      </c>
      <c r="E17" s="7">
        <v>6</v>
      </c>
      <c r="F17" s="7">
        <v>2</v>
      </c>
      <c r="G17" s="7">
        <v>0</v>
      </c>
      <c r="H17" s="7">
        <v>26</v>
      </c>
      <c r="I17" s="8">
        <f t="shared" si="0"/>
        <v>69.230769230769226</v>
      </c>
    </row>
    <row r="18" spans="1:9" x14ac:dyDescent="0.25">
      <c r="A18" s="7" t="s">
        <v>58</v>
      </c>
      <c r="B18" s="7" t="s">
        <v>25</v>
      </c>
      <c r="C18" s="7" t="s">
        <v>61</v>
      </c>
      <c r="D18" s="7">
        <v>24</v>
      </c>
      <c r="E18" s="7">
        <v>1</v>
      </c>
      <c r="F18" s="7">
        <v>1</v>
      </c>
      <c r="G18" s="7">
        <v>0</v>
      </c>
      <c r="H18" s="7">
        <v>26</v>
      </c>
      <c r="I18" s="8">
        <f t="shared" si="0"/>
        <v>92.307692307692307</v>
      </c>
    </row>
    <row r="19" spans="1:9" x14ac:dyDescent="0.25">
      <c r="A19" s="7" t="s">
        <v>59</v>
      </c>
      <c r="B19" s="7" t="s">
        <v>26</v>
      </c>
      <c r="C19" s="7" t="s">
        <v>32</v>
      </c>
      <c r="D19" s="7">
        <v>13</v>
      </c>
      <c r="E19" s="7">
        <v>5</v>
      </c>
      <c r="F19" s="7">
        <v>6</v>
      </c>
      <c r="G19" s="7">
        <v>2</v>
      </c>
      <c r="H19" s="7">
        <v>26</v>
      </c>
      <c r="I19" s="9">
        <f t="shared" si="0"/>
        <v>50</v>
      </c>
    </row>
    <row r="20" spans="1:9" x14ac:dyDescent="0.25">
      <c r="A20" s="7" t="s">
        <v>60</v>
      </c>
      <c r="B20" s="7" t="s">
        <v>28</v>
      </c>
      <c r="C20" s="7" t="s">
        <v>9</v>
      </c>
      <c r="D20" s="7">
        <v>15</v>
      </c>
      <c r="E20" s="7">
        <v>10</v>
      </c>
      <c r="F20" s="7">
        <v>1</v>
      </c>
      <c r="G20" s="7">
        <v>0</v>
      </c>
      <c r="H20" s="7">
        <v>26</v>
      </c>
      <c r="I20" s="9">
        <f t="shared" si="0"/>
        <v>57.692307692307686</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98C3B-6255-40FB-9714-BCB161D689E4}">
  <dimension ref="A3:G43"/>
  <sheetViews>
    <sheetView workbookViewId="0">
      <selection activeCell="I2" sqref="I2"/>
    </sheetView>
  </sheetViews>
  <sheetFormatPr defaultRowHeight="15" x14ac:dyDescent="0.25"/>
  <cols>
    <col min="1" max="1" width="15.5703125" bestFit="1" customWidth="1"/>
    <col min="2" max="2" width="15.42578125" bestFit="1" customWidth="1"/>
    <col min="3" max="3" width="14.5703125" bestFit="1" customWidth="1"/>
    <col min="4" max="4" width="13.140625" bestFit="1" customWidth="1"/>
    <col min="5" max="5" width="11.7109375" bestFit="1" customWidth="1"/>
    <col min="6" max="6" width="28.42578125" bestFit="1" customWidth="1"/>
    <col min="7" max="7" width="21.85546875" bestFit="1" customWidth="1"/>
  </cols>
  <sheetData>
    <row r="3" spans="1:7" x14ac:dyDescent="0.25">
      <c r="A3" s="2" t="s">
        <v>33</v>
      </c>
      <c r="B3" t="s">
        <v>36</v>
      </c>
      <c r="C3" t="s">
        <v>37</v>
      </c>
      <c r="D3" t="s">
        <v>38</v>
      </c>
      <c r="E3" t="s">
        <v>39</v>
      </c>
      <c r="F3" t="s">
        <v>40</v>
      </c>
      <c r="G3" t="s">
        <v>41</v>
      </c>
    </row>
    <row r="4" spans="1:7" x14ac:dyDescent="0.25">
      <c r="A4" s="3" t="s">
        <v>34</v>
      </c>
      <c r="B4" s="6">
        <v>409</v>
      </c>
      <c r="C4" s="6">
        <v>46</v>
      </c>
      <c r="D4" s="6">
        <v>29</v>
      </c>
      <c r="E4" s="6">
        <v>12</v>
      </c>
      <c r="F4" s="6">
        <v>494</v>
      </c>
      <c r="G4" s="1">
        <v>1573.0769230769235</v>
      </c>
    </row>
    <row r="5" spans="1:7" x14ac:dyDescent="0.25">
      <c r="A5" s="4" t="s">
        <v>19</v>
      </c>
      <c r="B5" s="6">
        <v>23</v>
      </c>
      <c r="C5" s="6">
        <v>2</v>
      </c>
      <c r="D5" s="6">
        <v>1</v>
      </c>
      <c r="E5" s="6">
        <v>0</v>
      </c>
      <c r="F5" s="6">
        <v>26</v>
      </c>
      <c r="G5" s="1">
        <v>88.461538461538453</v>
      </c>
    </row>
    <row r="6" spans="1:7" x14ac:dyDescent="0.25">
      <c r="A6" s="5" t="s">
        <v>31</v>
      </c>
      <c r="B6" s="6">
        <v>23</v>
      </c>
      <c r="C6" s="6">
        <v>2</v>
      </c>
      <c r="D6" s="6">
        <v>1</v>
      </c>
      <c r="E6" s="6">
        <v>0</v>
      </c>
      <c r="F6" s="6">
        <v>26</v>
      </c>
      <c r="G6" s="1">
        <v>88.461538461538453</v>
      </c>
    </row>
    <row r="7" spans="1:7" x14ac:dyDescent="0.25">
      <c r="A7" s="4" t="s">
        <v>15</v>
      </c>
      <c r="B7" s="6">
        <v>24</v>
      </c>
      <c r="C7" s="6">
        <v>1</v>
      </c>
      <c r="D7" s="6">
        <v>1</v>
      </c>
      <c r="E7" s="6">
        <v>0</v>
      </c>
      <c r="F7" s="6">
        <v>26</v>
      </c>
      <c r="G7" s="1">
        <v>92.307692307692307</v>
      </c>
    </row>
    <row r="8" spans="1:7" x14ac:dyDescent="0.25">
      <c r="A8" s="5" t="s">
        <v>31</v>
      </c>
      <c r="B8" s="6">
        <v>24</v>
      </c>
      <c r="C8" s="6">
        <v>1</v>
      </c>
      <c r="D8" s="6">
        <v>1</v>
      </c>
      <c r="E8" s="6">
        <v>0</v>
      </c>
      <c r="F8" s="6">
        <v>26</v>
      </c>
      <c r="G8" s="1">
        <v>92.307692307692307</v>
      </c>
    </row>
    <row r="9" spans="1:7" x14ac:dyDescent="0.25">
      <c r="A9" s="4" t="s">
        <v>20</v>
      </c>
      <c r="B9" s="6">
        <v>20</v>
      </c>
      <c r="C9" s="6">
        <v>3</v>
      </c>
      <c r="D9" s="6">
        <v>2</v>
      </c>
      <c r="E9" s="6">
        <v>1</v>
      </c>
      <c r="F9" s="6">
        <v>26</v>
      </c>
      <c r="G9" s="1">
        <v>76.923076923076934</v>
      </c>
    </row>
    <row r="10" spans="1:7" x14ac:dyDescent="0.25">
      <c r="A10" s="5" t="s">
        <v>9</v>
      </c>
      <c r="B10" s="6">
        <v>20</v>
      </c>
      <c r="C10" s="6">
        <v>3</v>
      </c>
      <c r="D10" s="6">
        <v>2</v>
      </c>
      <c r="E10" s="6">
        <v>1</v>
      </c>
      <c r="F10" s="6">
        <v>26</v>
      </c>
      <c r="G10" s="1">
        <v>76.923076923076934</v>
      </c>
    </row>
    <row r="11" spans="1:7" x14ac:dyDescent="0.25">
      <c r="A11" s="4" t="s">
        <v>14</v>
      </c>
      <c r="B11" s="6">
        <v>23</v>
      </c>
      <c r="C11" s="6">
        <v>1</v>
      </c>
      <c r="D11" s="6">
        <v>2</v>
      </c>
      <c r="E11" s="6">
        <v>0</v>
      </c>
      <c r="F11" s="6">
        <v>26</v>
      </c>
      <c r="G11" s="1">
        <v>88.461538461538453</v>
      </c>
    </row>
    <row r="12" spans="1:7" x14ac:dyDescent="0.25">
      <c r="A12" s="5" t="s">
        <v>32</v>
      </c>
      <c r="B12" s="6">
        <v>23</v>
      </c>
      <c r="C12" s="6">
        <v>1</v>
      </c>
      <c r="D12" s="6">
        <v>2</v>
      </c>
      <c r="E12" s="6">
        <v>0</v>
      </c>
      <c r="F12" s="6">
        <v>26</v>
      </c>
      <c r="G12" s="1">
        <v>88.461538461538453</v>
      </c>
    </row>
    <row r="13" spans="1:7" x14ac:dyDescent="0.25">
      <c r="A13" s="4" t="s">
        <v>13</v>
      </c>
      <c r="B13" s="6">
        <v>21</v>
      </c>
      <c r="C13" s="6">
        <v>3</v>
      </c>
      <c r="D13" s="6">
        <v>1</v>
      </c>
      <c r="E13" s="6">
        <v>1</v>
      </c>
      <c r="F13" s="6">
        <v>26</v>
      </c>
      <c r="G13" s="1">
        <v>80.769230769230774</v>
      </c>
    </row>
    <row r="14" spans="1:7" x14ac:dyDescent="0.25">
      <c r="A14" s="5" t="s">
        <v>9</v>
      </c>
      <c r="B14" s="6">
        <v>21</v>
      </c>
      <c r="C14" s="6">
        <v>3</v>
      </c>
      <c r="D14" s="6">
        <v>1</v>
      </c>
      <c r="E14" s="6">
        <v>1</v>
      </c>
      <c r="F14" s="6">
        <v>26</v>
      </c>
      <c r="G14" s="1">
        <v>80.769230769230774</v>
      </c>
    </row>
    <row r="15" spans="1:7" x14ac:dyDescent="0.25">
      <c r="A15" s="4" t="s">
        <v>25</v>
      </c>
      <c r="B15" s="6">
        <v>24</v>
      </c>
      <c r="C15" s="6">
        <v>1</v>
      </c>
      <c r="D15" s="6">
        <v>1</v>
      </c>
      <c r="E15" s="6">
        <v>0</v>
      </c>
      <c r="F15" s="6">
        <v>26</v>
      </c>
      <c r="G15" s="1">
        <v>92.307692307692307</v>
      </c>
    </row>
    <row r="16" spans="1:7" x14ac:dyDescent="0.25">
      <c r="A16" s="5" t="s">
        <v>31</v>
      </c>
      <c r="B16" s="6">
        <v>24</v>
      </c>
      <c r="C16" s="6">
        <v>1</v>
      </c>
      <c r="D16" s="6">
        <v>1</v>
      </c>
      <c r="E16" s="6">
        <v>0</v>
      </c>
      <c r="F16" s="6">
        <v>26</v>
      </c>
      <c r="G16" s="1">
        <v>92.307692307692307</v>
      </c>
    </row>
    <row r="17" spans="1:7" x14ac:dyDescent="0.25">
      <c r="A17" s="4" t="s">
        <v>28</v>
      </c>
      <c r="B17" s="6">
        <v>15</v>
      </c>
      <c r="C17" s="6">
        <v>10</v>
      </c>
      <c r="D17" s="6">
        <v>1</v>
      </c>
      <c r="E17" s="6">
        <v>0</v>
      </c>
      <c r="F17" s="6">
        <v>26</v>
      </c>
      <c r="G17" s="1">
        <v>57.692307692307686</v>
      </c>
    </row>
    <row r="18" spans="1:7" x14ac:dyDescent="0.25">
      <c r="A18" s="5" t="s">
        <v>32</v>
      </c>
      <c r="B18" s="6">
        <v>15</v>
      </c>
      <c r="C18" s="6">
        <v>10</v>
      </c>
      <c r="D18" s="6">
        <v>1</v>
      </c>
      <c r="E18" s="6">
        <v>0</v>
      </c>
      <c r="F18" s="6">
        <v>26</v>
      </c>
      <c r="G18" s="1">
        <v>57.692307692307686</v>
      </c>
    </row>
    <row r="19" spans="1:7" x14ac:dyDescent="0.25">
      <c r="A19" s="4" t="s">
        <v>26</v>
      </c>
      <c r="B19" s="6">
        <v>13</v>
      </c>
      <c r="C19" s="6">
        <v>5</v>
      </c>
      <c r="D19" s="6">
        <v>6</v>
      </c>
      <c r="E19" s="6">
        <v>2</v>
      </c>
      <c r="F19" s="6">
        <v>26</v>
      </c>
      <c r="G19" s="1">
        <v>50</v>
      </c>
    </row>
    <row r="20" spans="1:7" x14ac:dyDescent="0.25">
      <c r="A20" s="5" t="s">
        <v>9</v>
      </c>
      <c r="B20" s="6">
        <v>13</v>
      </c>
      <c r="C20" s="6">
        <v>5</v>
      </c>
      <c r="D20" s="6">
        <v>6</v>
      </c>
      <c r="E20" s="6">
        <v>2</v>
      </c>
      <c r="F20" s="6">
        <v>26</v>
      </c>
      <c r="G20" s="1">
        <v>50</v>
      </c>
    </row>
    <row r="21" spans="1:7" x14ac:dyDescent="0.25">
      <c r="A21" s="4" t="s">
        <v>8</v>
      </c>
      <c r="B21" s="6">
        <v>22</v>
      </c>
      <c r="C21" s="6">
        <v>2</v>
      </c>
      <c r="D21" s="6">
        <v>2</v>
      </c>
      <c r="E21" s="6">
        <v>1</v>
      </c>
      <c r="F21" s="6">
        <v>26</v>
      </c>
      <c r="G21" s="1">
        <v>84.615384615384613</v>
      </c>
    </row>
    <row r="22" spans="1:7" x14ac:dyDescent="0.25">
      <c r="A22" s="5" t="s">
        <v>9</v>
      </c>
      <c r="B22" s="6">
        <v>22</v>
      </c>
      <c r="C22" s="6">
        <v>2</v>
      </c>
      <c r="D22" s="6">
        <v>2</v>
      </c>
      <c r="E22" s="6">
        <v>1</v>
      </c>
      <c r="F22" s="6">
        <v>26</v>
      </c>
      <c r="G22" s="1">
        <v>84.615384615384613</v>
      </c>
    </row>
    <row r="23" spans="1:7" x14ac:dyDescent="0.25">
      <c r="A23" s="4" t="s">
        <v>12</v>
      </c>
      <c r="B23" s="6">
        <v>25</v>
      </c>
      <c r="C23" s="6">
        <v>0</v>
      </c>
      <c r="D23" s="6">
        <v>0</v>
      </c>
      <c r="E23" s="6">
        <v>1</v>
      </c>
      <c r="F23" s="6">
        <v>26</v>
      </c>
      <c r="G23" s="1">
        <v>96.15384615384616</v>
      </c>
    </row>
    <row r="24" spans="1:7" x14ac:dyDescent="0.25">
      <c r="A24" s="5" t="s">
        <v>31</v>
      </c>
      <c r="B24" s="6">
        <v>25</v>
      </c>
      <c r="C24" s="6">
        <v>0</v>
      </c>
      <c r="D24" s="6">
        <v>0</v>
      </c>
      <c r="E24" s="6">
        <v>1</v>
      </c>
      <c r="F24" s="6">
        <v>26</v>
      </c>
      <c r="G24" s="1">
        <v>96.15384615384616</v>
      </c>
    </row>
    <row r="25" spans="1:7" x14ac:dyDescent="0.25">
      <c r="A25" s="4" t="s">
        <v>16</v>
      </c>
      <c r="B25" s="6">
        <v>19</v>
      </c>
      <c r="C25" s="6">
        <v>5</v>
      </c>
      <c r="D25" s="6">
        <v>2</v>
      </c>
      <c r="E25" s="6">
        <v>0</v>
      </c>
      <c r="F25" s="6">
        <v>26</v>
      </c>
      <c r="G25" s="1">
        <v>73.076923076923066</v>
      </c>
    </row>
    <row r="26" spans="1:7" x14ac:dyDescent="0.25">
      <c r="A26" s="5" t="s">
        <v>9</v>
      </c>
      <c r="B26" s="6">
        <v>19</v>
      </c>
      <c r="C26" s="6">
        <v>5</v>
      </c>
      <c r="D26" s="6">
        <v>2</v>
      </c>
      <c r="E26" s="6">
        <v>0</v>
      </c>
      <c r="F26" s="6">
        <v>26</v>
      </c>
      <c r="G26" s="1">
        <v>73.076923076923066</v>
      </c>
    </row>
    <row r="27" spans="1:7" x14ac:dyDescent="0.25">
      <c r="A27" s="4" t="s">
        <v>17</v>
      </c>
      <c r="B27" s="6">
        <v>22</v>
      </c>
      <c r="C27" s="6">
        <v>0</v>
      </c>
      <c r="D27" s="6">
        <v>2</v>
      </c>
      <c r="E27" s="6">
        <v>1</v>
      </c>
      <c r="F27" s="6">
        <v>26</v>
      </c>
      <c r="G27" s="1">
        <v>84.615384615384613</v>
      </c>
    </row>
    <row r="28" spans="1:7" x14ac:dyDescent="0.25">
      <c r="A28" s="5" t="s">
        <v>29</v>
      </c>
      <c r="B28" s="6">
        <v>22</v>
      </c>
      <c r="C28" s="6">
        <v>0</v>
      </c>
      <c r="D28" s="6">
        <v>2</v>
      </c>
      <c r="E28" s="6">
        <v>1</v>
      </c>
      <c r="F28" s="6">
        <v>26</v>
      </c>
      <c r="G28" s="1">
        <v>84.615384615384613</v>
      </c>
    </row>
    <row r="29" spans="1:7" x14ac:dyDescent="0.25">
      <c r="A29" s="4" t="s">
        <v>11</v>
      </c>
      <c r="B29" s="6">
        <v>20</v>
      </c>
      <c r="C29" s="6">
        <v>4</v>
      </c>
      <c r="D29" s="6">
        <v>2</v>
      </c>
      <c r="E29" s="6">
        <v>0</v>
      </c>
      <c r="F29" s="6">
        <v>26</v>
      </c>
      <c r="G29" s="1">
        <v>76.923076923076934</v>
      </c>
    </row>
    <row r="30" spans="1:7" x14ac:dyDescent="0.25">
      <c r="A30" s="5" t="s">
        <v>30</v>
      </c>
      <c r="B30" s="6">
        <v>20</v>
      </c>
      <c r="C30" s="6">
        <v>4</v>
      </c>
      <c r="D30" s="6">
        <v>2</v>
      </c>
      <c r="E30" s="6">
        <v>0</v>
      </c>
      <c r="F30" s="6">
        <v>26</v>
      </c>
      <c r="G30" s="1">
        <v>76.923076923076934</v>
      </c>
    </row>
    <row r="31" spans="1:7" x14ac:dyDescent="0.25">
      <c r="A31" s="4" t="s">
        <v>21</v>
      </c>
      <c r="B31" s="6">
        <v>24</v>
      </c>
      <c r="C31" s="6">
        <v>1</v>
      </c>
      <c r="D31" s="6">
        <v>0</v>
      </c>
      <c r="E31" s="6">
        <v>2</v>
      </c>
      <c r="F31" s="6">
        <v>26</v>
      </c>
      <c r="G31" s="1">
        <v>92.307692307692307</v>
      </c>
    </row>
    <row r="32" spans="1:7" x14ac:dyDescent="0.25">
      <c r="A32" s="5" t="s">
        <v>32</v>
      </c>
      <c r="B32" s="6">
        <v>24</v>
      </c>
      <c r="C32" s="6">
        <v>1</v>
      </c>
      <c r="D32" s="6">
        <v>0</v>
      </c>
      <c r="E32" s="6">
        <v>2</v>
      </c>
      <c r="F32" s="6">
        <v>26</v>
      </c>
      <c r="G32" s="1">
        <v>92.307692307692307</v>
      </c>
    </row>
    <row r="33" spans="1:7" x14ac:dyDescent="0.25">
      <c r="A33" s="4" t="s">
        <v>18</v>
      </c>
      <c r="B33" s="6">
        <v>26</v>
      </c>
      <c r="C33" s="6">
        <v>0</v>
      </c>
      <c r="D33" s="6">
        <v>0</v>
      </c>
      <c r="E33" s="6">
        <v>0</v>
      </c>
      <c r="F33" s="6">
        <v>26</v>
      </c>
      <c r="G33" s="1">
        <v>100</v>
      </c>
    </row>
    <row r="34" spans="1:7" x14ac:dyDescent="0.25">
      <c r="A34" s="5" t="s">
        <v>30</v>
      </c>
      <c r="B34" s="6">
        <v>26</v>
      </c>
      <c r="C34" s="6">
        <v>0</v>
      </c>
      <c r="D34" s="6">
        <v>0</v>
      </c>
      <c r="E34" s="6">
        <v>0</v>
      </c>
      <c r="F34" s="6">
        <v>26</v>
      </c>
      <c r="G34" s="1">
        <v>100</v>
      </c>
    </row>
    <row r="35" spans="1:7" x14ac:dyDescent="0.25">
      <c r="A35" s="4" t="s">
        <v>24</v>
      </c>
      <c r="B35" s="6">
        <v>18</v>
      </c>
      <c r="C35" s="6">
        <v>6</v>
      </c>
      <c r="D35" s="6">
        <v>2</v>
      </c>
      <c r="E35" s="6">
        <v>0</v>
      </c>
      <c r="F35" s="6">
        <v>26</v>
      </c>
      <c r="G35" s="1">
        <v>69.230769230769226</v>
      </c>
    </row>
    <row r="36" spans="1:7" x14ac:dyDescent="0.25">
      <c r="A36" s="5" t="s">
        <v>30</v>
      </c>
      <c r="B36" s="6">
        <v>18</v>
      </c>
      <c r="C36" s="6">
        <v>6</v>
      </c>
      <c r="D36" s="6">
        <v>2</v>
      </c>
      <c r="E36" s="6">
        <v>0</v>
      </c>
      <c r="F36" s="6">
        <v>26</v>
      </c>
      <c r="G36" s="1">
        <v>69.230769230769226</v>
      </c>
    </row>
    <row r="37" spans="1:7" x14ac:dyDescent="0.25">
      <c r="A37" s="4" t="s">
        <v>22</v>
      </c>
      <c r="B37" s="6">
        <v>21</v>
      </c>
      <c r="C37" s="6">
        <v>1</v>
      </c>
      <c r="D37" s="6">
        <v>3</v>
      </c>
      <c r="E37" s="6">
        <v>1</v>
      </c>
      <c r="F37" s="6">
        <v>26</v>
      </c>
      <c r="G37" s="1">
        <v>80.769230769230774</v>
      </c>
    </row>
    <row r="38" spans="1:7" x14ac:dyDescent="0.25">
      <c r="A38" s="5" t="s">
        <v>9</v>
      </c>
      <c r="B38" s="6">
        <v>21</v>
      </c>
      <c r="C38" s="6">
        <v>1</v>
      </c>
      <c r="D38" s="6">
        <v>3</v>
      </c>
      <c r="E38" s="6">
        <v>1</v>
      </c>
      <c r="F38" s="6">
        <v>26</v>
      </c>
      <c r="G38" s="1">
        <v>80.769230769230774</v>
      </c>
    </row>
    <row r="39" spans="1:7" x14ac:dyDescent="0.25">
      <c r="A39" s="4" t="s">
        <v>23</v>
      </c>
      <c r="B39" s="6">
        <v>25</v>
      </c>
      <c r="C39" s="6">
        <v>0</v>
      </c>
      <c r="D39" s="6">
        <v>0</v>
      </c>
      <c r="E39" s="6">
        <v>2</v>
      </c>
      <c r="F39" s="6">
        <v>26</v>
      </c>
      <c r="G39" s="1">
        <v>96.15384615384616</v>
      </c>
    </row>
    <row r="40" spans="1:7" x14ac:dyDescent="0.25">
      <c r="A40" s="5" t="s">
        <v>29</v>
      </c>
      <c r="B40" s="6">
        <v>25</v>
      </c>
      <c r="C40" s="6">
        <v>0</v>
      </c>
      <c r="D40" s="6">
        <v>0</v>
      </c>
      <c r="E40" s="6">
        <v>2</v>
      </c>
      <c r="F40" s="6">
        <v>26</v>
      </c>
      <c r="G40" s="1">
        <v>96.15384615384616</v>
      </c>
    </row>
    <row r="41" spans="1:7" x14ac:dyDescent="0.25">
      <c r="A41" s="4" t="s">
        <v>27</v>
      </c>
      <c r="B41" s="6">
        <v>24</v>
      </c>
      <c r="C41" s="6">
        <v>1</v>
      </c>
      <c r="D41" s="6">
        <v>1</v>
      </c>
      <c r="E41" s="6">
        <v>0</v>
      </c>
      <c r="F41" s="6">
        <v>26</v>
      </c>
      <c r="G41" s="1">
        <v>92.307692307692307</v>
      </c>
    </row>
    <row r="42" spans="1:7" x14ac:dyDescent="0.25">
      <c r="A42" s="5" t="s">
        <v>29</v>
      </c>
      <c r="B42" s="6">
        <v>24</v>
      </c>
      <c r="C42" s="6">
        <v>1</v>
      </c>
      <c r="D42" s="6">
        <v>1</v>
      </c>
      <c r="E42" s="6">
        <v>0</v>
      </c>
      <c r="F42" s="6">
        <v>26</v>
      </c>
      <c r="G42" s="1">
        <v>92.307692307692307</v>
      </c>
    </row>
    <row r="43" spans="1:7" x14ac:dyDescent="0.25">
      <c r="A43" s="3" t="s">
        <v>35</v>
      </c>
      <c r="B43" s="6">
        <v>409</v>
      </c>
      <c r="C43" s="6">
        <v>46</v>
      </c>
      <c r="D43" s="6">
        <v>29</v>
      </c>
      <c r="E43" s="6">
        <v>12</v>
      </c>
      <c r="F43" s="6">
        <v>494</v>
      </c>
      <c r="G43" s="1">
        <v>1573.0769230769235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7CA40-B79A-47BB-82AE-FF50107FB3A5}">
  <dimension ref="A1:I20"/>
  <sheetViews>
    <sheetView tabSelected="1" workbookViewId="0">
      <selection activeCell="D11" sqref="D11"/>
    </sheetView>
  </sheetViews>
  <sheetFormatPr defaultRowHeight="15" x14ac:dyDescent="0.25"/>
  <cols>
    <col min="1" max="1" width="12.42578125" bestFit="1" customWidth="1"/>
    <col min="2" max="2" width="16.140625" bestFit="1" customWidth="1"/>
    <col min="3" max="3" width="13.140625" bestFit="1" customWidth="1"/>
    <col min="8" max="8" width="21.140625" bestFit="1" customWidth="1"/>
    <col min="9" max="9" width="15" bestFit="1" customWidth="1"/>
  </cols>
  <sheetData>
    <row r="1" spans="1:9" x14ac:dyDescent="0.25">
      <c r="A1" s="10" t="s">
        <v>0</v>
      </c>
      <c r="B1" s="10" t="s">
        <v>1</v>
      </c>
      <c r="C1" s="10" t="s">
        <v>2</v>
      </c>
      <c r="D1" s="10" t="s">
        <v>3</v>
      </c>
      <c r="E1" s="10" t="s">
        <v>4</v>
      </c>
      <c r="F1" s="10" t="s">
        <v>5</v>
      </c>
      <c r="G1" s="10" t="s">
        <v>6</v>
      </c>
      <c r="H1" s="10" t="s">
        <v>7</v>
      </c>
      <c r="I1" s="10" t="s">
        <v>10</v>
      </c>
    </row>
    <row r="2" spans="1:9" x14ac:dyDescent="0.25">
      <c r="A2" s="7" t="s">
        <v>42</v>
      </c>
      <c r="B2" s="7" t="s">
        <v>8</v>
      </c>
      <c r="C2" s="7" t="s">
        <v>9</v>
      </c>
      <c r="D2" s="7">
        <v>22</v>
      </c>
      <c r="E2" s="7">
        <v>2</v>
      </c>
      <c r="F2" s="7">
        <v>2</v>
      </c>
      <c r="G2" s="7">
        <v>1</v>
      </c>
      <c r="H2" s="7">
        <v>26</v>
      </c>
      <c r="I2" s="8">
        <f>D2/H2*100</f>
        <v>84.615384615384613</v>
      </c>
    </row>
    <row r="3" spans="1:9" x14ac:dyDescent="0.25">
      <c r="A3" s="7" t="s">
        <v>43</v>
      </c>
      <c r="B3" s="7" t="s">
        <v>27</v>
      </c>
      <c r="C3" s="7" t="s">
        <v>61</v>
      </c>
      <c r="D3" s="7">
        <v>24</v>
      </c>
      <c r="E3" s="7">
        <v>1</v>
      </c>
      <c r="F3" s="7">
        <v>1</v>
      </c>
      <c r="G3" s="7">
        <v>0</v>
      </c>
      <c r="H3" s="7">
        <v>26</v>
      </c>
      <c r="I3" s="8">
        <f t="shared" ref="I3:I20" si="0">D3/H3*100</f>
        <v>92.307692307692307</v>
      </c>
    </row>
    <row r="4" spans="1:9" x14ac:dyDescent="0.25">
      <c r="A4" s="7" t="s">
        <v>44</v>
      </c>
      <c r="B4" s="7" t="s">
        <v>11</v>
      </c>
      <c r="C4" s="7" t="s">
        <v>32</v>
      </c>
      <c r="D4" s="7">
        <v>20</v>
      </c>
      <c r="E4" s="7">
        <v>4</v>
      </c>
      <c r="F4" s="7">
        <v>2</v>
      </c>
      <c r="G4" s="7">
        <v>0</v>
      </c>
      <c r="H4" s="7">
        <v>26</v>
      </c>
      <c r="I4" s="8">
        <f t="shared" si="0"/>
        <v>76.923076923076934</v>
      </c>
    </row>
    <row r="5" spans="1:9" x14ac:dyDescent="0.25">
      <c r="A5" s="7" t="s">
        <v>45</v>
      </c>
      <c r="B5" s="7" t="s">
        <v>12</v>
      </c>
      <c r="C5" s="7" t="s">
        <v>9</v>
      </c>
      <c r="D5" s="7">
        <v>25</v>
      </c>
      <c r="E5" s="7">
        <v>0</v>
      </c>
      <c r="F5" s="7">
        <v>0</v>
      </c>
      <c r="G5" s="7">
        <v>1</v>
      </c>
      <c r="H5" s="7">
        <v>26</v>
      </c>
      <c r="I5" s="8">
        <f>D5/H5*100</f>
        <v>96.15384615384616</v>
      </c>
    </row>
    <row r="6" spans="1:9" x14ac:dyDescent="0.25">
      <c r="A6" s="7" t="s">
        <v>46</v>
      </c>
      <c r="B6" s="7" t="s">
        <v>13</v>
      </c>
      <c r="C6" s="7" t="s">
        <v>61</v>
      </c>
      <c r="D6" s="7">
        <v>21</v>
      </c>
      <c r="E6" s="7">
        <v>3</v>
      </c>
      <c r="F6" s="7">
        <v>1</v>
      </c>
      <c r="G6" s="7">
        <v>1</v>
      </c>
      <c r="H6" s="7">
        <v>26</v>
      </c>
      <c r="I6" s="8">
        <f t="shared" si="0"/>
        <v>80.769230769230774</v>
      </c>
    </row>
    <row r="7" spans="1:9" x14ac:dyDescent="0.25">
      <c r="A7" s="7" t="s">
        <v>47</v>
      </c>
      <c r="B7" s="7" t="s">
        <v>14</v>
      </c>
      <c r="C7" s="7" t="s">
        <v>32</v>
      </c>
      <c r="D7" s="7">
        <v>23</v>
      </c>
      <c r="E7" s="7">
        <v>1</v>
      </c>
      <c r="F7" s="7">
        <v>2</v>
      </c>
      <c r="G7" s="7">
        <v>0</v>
      </c>
      <c r="H7" s="7">
        <v>26</v>
      </c>
      <c r="I7" s="8">
        <f t="shared" si="0"/>
        <v>88.461538461538453</v>
      </c>
    </row>
    <row r="8" spans="1:9" x14ac:dyDescent="0.25">
      <c r="A8" s="7" t="s">
        <v>48</v>
      </c>
      <c r="B8" s="7" t="s">
        <v>15</v>
      </c>
      <c r="C8" s="7" t="s">
        <v>31</v>
      </c>
      <c r="D8" s="7">
        <v>24</v>
      </c>
      <c r="E8" s="7">
        <v>1</v>
      </c>
      <c r="F8" s="7">
        <v>1</v>
      </c>
      <c r="G8" s="7">
        <v>0</v>
      </c>
      <c r="H8" s="7">
        <v>26</v>
      </c>
      <c r="I8" s="8">
        <f t="shared" si="0"/>
        <v>92.307692307692307</v>
      </c>
    </row>
    <row r="9" spans="1:9" x14ac:dyDescent="0.25">
      <c r="A9" s="7" t="s">
        <v>49</v>
      </c>
      <c r="B9" s="7" t="s">
        <v>16</v>
      </c>
      <c r="C9" s="7" t="s">
        <v>61</v>
      </c>
      <c r="D9" s="7">
        <v>19</v>
      </c>
      <c r="E9" s="7">
        <v>5</v>
      </c>
      <c r="F9" s="7">
        <v>2</v>
      </c>
      <c r="G9" s="7">
        <v>0</v>
      </c>
      <c r="H9" s="7">
        <v>26</v>
      </c>
      <c r="I9" s="8">
        <f t="shared" si="0"/>
        <v>73.076923076923066</v>
      </c>
    </row>
    <row r="10" spans="1:9" x14ac:dyDescent="0.25">
      <c r="A10" s="7" t="s">
        <v>50</v>
      </c>
      <c r="B10" s="7" t="s">
        <v>17</v>
      </c>
      <c r="C10" s="7" t="s">
        <v>32</v>
      </c>
      <c r="D10" s="7">
        <v>22</v>
      </c>
      <c r="E10" s="7">
        <v>0</v>
      </c>
      <c r="F10" s="7">
        <v>2</v>
      </c>
      <c r="G10" s="7">
        <v>1</v>
      </c>
      <c r="H10" s="7">
        <v>26</v>
      </c>
      <c r="I10" s="8">
        <f t="shared" si="0"/>
        <v>84.615384615384613</v>
      </c>
    </row>
    <row r="11" spans="1:9" x14ac:dyDescent="0.25">
      <c r="A11" s="7" t="s">
        <v>51</v>
      </c>
      <c r="B11" s="7" t="s">
        <v>18</v>
      </c>
      <c r="C11" s="7" t="s">
        <v>31</v>
      </c>
      <c r="D11" s="7">
        <v>26</v>
      </c>
      <c r="E11" s="7">
        <v>0</v>
      </c>
      <c r="F11" s="7">
        <v>0</v>
      </c>
      <c r="G11" s="7">
        <v>0</v>
      </c>
      <c r="H11" s="7">
        <v>26</v>
      </c>
      <c r="I11" s="8">
        <f t="shared" si="0"/>
        <v>100</v>
      </c>
    </row>
    <row r="12" spans="1:9" x14ac:dyDescent="0.25">
      <c r="A12" s="7" t="s">
        <v>52</v>
      </c>
      <c r="B12" s="7" t="s">
        <v>19</v>
      </c>
      <c r="C12" s="7" t="s">
        <v>61</v>
      </c>
      <c r="D12" s="7">
        <v>23</v>
      </c>
      <c r="E12" s="7">
        <v>2</v>
      </c>
      <c r="F12" s="7">
        <v>1</v>
      </c>
      <c r="G12" s="7">
        <v>0</v>
      </c>
      <c r="H12" s="7">
        <v>26</v>
      </c>
      <c r="I12" s="8">
        <f t="shared" si="0"/>
        <v>88.461538461538453</v>
      </c>
    </row>
    <row r="13" spans="1:9" x14ac:dyDescent="0.25">
      <c r="A13" s="7" t="s">
        <v>53</v>
      </c>
      <c r="B13" s="7" t="s">
        <v>20</v>
      </c>
      <c r="C13" s="7" t="s">
        <v>9</v>
      </c>
      <c r="D13" s="7">
        <v>20</v>
      </c>
      <c r="E13" s="7">
        <v>3</v>
      </c>
      <c r="F13" s="7">
        <v>2</v>
      </c>
      <c r="G13" s="7">
        <v>1</v>
      </c>
      <c r="H13" s="7">
        <v>26</v>
      </c>
      <c r="I13" s="8">
        <f t="shared" si="0"/>
        <v>76.923076923076934</v>
      </c>
    </row>
    <row r="14" spans="1:9" x14ac:dyDescent="0.25">
      <c r="A14" s="7" t="s">
        <v>54</v>
      </c>
      <c r="B14" s="7" t="s">
        <v>21</v>
      </c>
      <c r="C14" s="7" t="s">
        <v>61</v>
      </c>
      <c r="D14" s="7">
        <v>24</v>
      </c>
      <c r="E14" s="7">
        <v>1</v>
      </c>
      <c r="F14" s="7">
        <v>0</v>
      </c>
      <c r="G14" s="7">
        <v>2</v>
      </c>
      <c r="H14" s="7">
        <v>26</v>
      </c>
      <c r="I14" s="8">
        <f t="shared" si="0"/>
        <v>92.307692307692307</v>
      </c>
    </row>
    <row r="15" spans="1:9" x14ac:dyDescent="0.25">
      <c r="A15" s="7" t="s">
        <v>55</v>
      </c>
      <c r="B15" s="7" t="s">
        <v>22</v>
      </c>
      <c r="C15" s="7" t="s">
        <v>32</v>
      </c>
      <c r="D15" s="7">
        <v>21</v>
      </c>
      <c r="E15" s="7">
        <v>1</v>
      </c>
      <c r="F15" s="7">
        <v>3</v>
      </c>
      <c r="G15" s="7">
        <v>1</v>
      </c>
      <c r="H15" s="7">
        <v>26</v>
      </c>
      <c r="I15" s="8">
        <f t="shared" si="0"/>
        <v>80.769230769230774</v>
      </c>
    </row>
    <row r="16" spans="1:9" x14ac:dyDescent="0.25">
      <c r="A16" s="7" t="s">
        <v>56</v>
      </c>
      <c r="B16" s="7" t="s">
        <v>23</v>
      </c>
      <c r="C16" s="7" t="s">
        <v>31</v>
      </c>
      <c r="D16" s="7">
        <v>25</v>
      </c>
      <c r="E16" s="7">
        <v>0</v>
      </c>
      <c r="F16" s="7">
        <v>0</v>
      </c>
      <c r="G16" s="7">
        <v>2</v>
      </c>
      <c r="H16" s="7">
        <v>26</v>
      </c>
      <c r="I16" s="8">
        <f t="shared" si="0"/>
        <v>96.15384615384616</v>
      </c>
    </row>
    <row r="17" spans="1:9" x14ac:dyDescent="0.25">
      <c r="A17" s="7" t="s">
        <v>57</v>
      </c>
      <c r="B17" s="7" t="s">
        <v>24</v>
      </c>
      <c r="C17" s="7" t="s">
        <v>9</v>
      </c>
      <c r="D17" s="7">
        <v>18</v>
      </c>
      <c r="E17" s="7">
        <v>6</v>
      </c>
      <c r="F17" s="7">
        <v>2</v>
      </c>
      <c r="G17" s="7">
        <v>0</v>
      </c>
      <c r="H17" s="7">
        <v>26</v>
      </c>
      <c r="I17" s="8">
        <f t="shared" si="0"/>
        <v>69.230769230769226</v>
      </c>
    </row>
    <row r="18" spans="1:9" x14ac:dyDescent="0.25">
      <c r="A18" s="7" t="s">
        <v>58</v>
      </c>
      <c r="B18" s="7" t="s">
        <v>25</v>
      </c>
      <c r="C18" s="7" t="s">
        <v>61</v>
      </c>
      <c r="D18" s="7">
        <v>24</v>
      </c>
      <c r="E18" s="7">
        <v>1</v>
      </c>
      <c r="F18" s="7">
        <v>1</v>
      </c>
      <c r="G18" s="7">
        <v>0</v>
      </c>
      <c r="H18" s="7">
        <v>26</v>
      </c>
      <c r="I18" s="8">
        <f t="shared" si="0"/>
        <v>92.307692307692307</v>
      </c>
    </row>
    <row r="19" spans="1:9" x14ac:dyDescent="0.25">
      <c r="A19" s="7" t="s">
        <v>59</v>
      </c>
      <c r="B19" s="7" t="s">
        <v>26</v>
      </c>
      <c r="C19" s="7" t="s">
        <v>32</v>
      </c>
      <c r="D19" s="7">
        <v>13</v>
      </c>
      <c r="E19" s="7">
        <v>5</v>
      </c>
      <c r="F19" s="7">
        <v>6</v>
      </c>
      <c r="G19" s="7">
        <v>2</v>
      </c>
      <c r="H19" s="7">
        <v>26</v>
      </c>
      <c r="I19" s="9">
        <f t="shared" si="0"/>
        <v>50</v>
      </c>
    </row>
    <row r="20" spans="1:9" x14ac:dyDescent="0.25">
      <c r="A20" s="7" t="s">
        <v>60</v>
      </c>
      <c r="B20" s="7" t="s">
        <v>28</v>
      </c>
      <c r="C20" s="7" t="s">
        <v>9</v>
      </c>
      <c r="D20" s="7">
        <v>15</v>
      </c>
      <c r="E20" s="7">
        <v>10</v>
      </c>
      <c r="F20" s="7">
        <v>1</v>
      </c>
      <c r="G20" s="7">
        <v>0</v>
      </c>
      <c r="H20" s="7">
        <v>26</v>
      </c>
      <c r="I20" s="9">
        <f t="shared" si="0"/>
        <v>57.692307692307686</v>
      </c>
    </row>
  </sheetData>
  <phoneticPr fontId="2" type="noConversion"/>
  <conditionalFormatting sqref="J1">
    <cfRule type="aboveAverage" dxfId="2" priority="13"/>
  </conditionalFormatting>
  <conditionalFormatting sqref="I2:I20">
    <cfRule type="cellIs" dxfId="1" priority="1" operator="lessThan">
      <formula>75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66B8-91BE-48F2-BD7D-E78790B7376C}">
  <dimension ref="A1:K11"/>
  <sheetViews>
    <sheetView workbookViewId="0">
      <selection activeCell="G17" sqref="G17"/>
    </sheetView>
  </sheetViews>
  <sheetFormatPr defaultRowHeight="15" x14ac:dyDescent="0.25"/>
  <cols>
    <col min="1" max="1" width="12" bestFit="1" customWidth="1"/>
    <col min="2" max="2" width="16.28515625" bestFit="1" customWidth="1"/>
    <col min="3" max="3" width="11.7109375" bestFit="1" customWidth="1"/>
  </cols>
  <sheetData>
    <row r="1" spans="1:11" x14ac:dyDescent="0.25">
      <c r="A1" s="11" t="s">
        <v>62</v>
      </c>
      <c r="B1" s="11" t="s">
        <v>63</v>
      </c>
      <c r="C1" s="11" t="s">
        <v>64</v>
      </c>
      <c r="D1" s="11" t="s">
        <v>65</v>
      </c>
      <c r="E1" s="11" t="s">
        <v>66</v>
      </c>
      <c r="F1" s="11" t="s">
        <v>67</v>
      </c>
      <c r="G1" s="11" t="s">
        <v>68</v>
      </c>
      <c r="I1" s="12" t="s">
        <v>83</v>
      </c>
      <c r="J1" s="12"/>
      <c r="K1" s="12"/>
    </row>
    <row r="2" spans="1:11" x14ac:dyDescent="0.25">
      <c r="A2" s="7" t="s">
        <v>87</v>
      </c>
      <c r="B2" s="7" t="s">
        <v>69</v>
      </c>
      <c r="C2" s="7" t="s">
        <v>31</v>
      </c>
      <c r="D2" s="7" t="s">
        <v>74</v>
      </c>
      <c r="E2" s="7" t="s">
        <v>81</v>
      </c>
      <c r="F2" s="7" t="s">
        <v>81</v>
      </c>
      <c r="G2" s="7" t="s">
        <v>81</v>
      </c>
      <c r="I2" s="7">
        <f>COUNTA(A2:A11)</f>
        <v>10</v>
      </c>
      <c r="J2" s="7"/>
      <c r="K2" s="7"/>
    </row>
    <row r="3" spans="1:11" x14ac:dyDescent="0.25">
      <c r="A3" s="7" t="s">
        <v>88</v>
      </c>
      <c r="B3" s="7" t="s">
        <v>70</v>
      </c>
      <c r="C3" s="7" t="s">
        <v>9</v>
      </c>
      <c r="D3" s="7" t="s">
        <v>17</v>
      </c>
      <c r="E3" s="7" t="s">
        <v>81</v>
      </c>
      <c r="F3" s="7" t="s">
        <v>82</v>
      </c>
      <c r="G3" s="7" t="s">
        <v>82</v>
      </c>
      <c r="I3" s="12" t="s">
        <v>84</v>
      </c>
      <c r="J3" s="12"/>
      <c r="K3" s="12"/>
    </row>
    <row r="4" spans="1:11" x14ac:dyDescent="0.25">
      <c r="A4" s="7" t="s">
        <v>89</v>
      </c>
      <c r="B4" s="7" t="s">
        <v>71</v>
      </c>
      <c r="C4" s="7" t="s">
        <v>29</v>
      </c>
      <c r="D4" s="7" t="s">
        <v>75</v>
      </c>
      <c r="E4" s="7" t="s">
        <v>82</v>
      </c>
      <c r="F4" s="7" t="s">
        <v>81</v>
      </c>
      <c r="G4" s="7" t="s">
        <v>81</v>
      </c>
      <c r="I4" s="7">
        <f>COUNTIF(E2:E11,"YES")</f>
        <v>6</v>
      </c>
      <c r="J4" s="7"/>
      <c r="K4" s="7"/>
    </row>
    <row r="5" spans="1:11" x14ac:dyDescent="0.25">
      <c r="A5" s="7" t="s">
        <v>90</v>
      </c>
      <c r="B5" s="7" t="s">
        <v>13</v>
      </c>
      <c r="C5" s="7" t="s">
        <v>30</v>
      </c>
      <c r="D5" s="7" t="s">
        <v>16</v>
      </c>
      <c r="E5" s="7" t="s">
        <v>82</v>
      </c>
      <c r="F5" s="7" t="s">
        <v>82</v>
      </c>
      <c r="G5" s="7" t="s">
        <v>82</v>
      </c>
      <c r="I5" s="12" t="s">
        <v>85</v>
      </c>
      <c r="J5" s="12"/>
      <c r="K5" s="12"/>
    </row>
    <row r="6" spans="1:11" x14ac:dyDescent="0.25">
      <c r="A6" s="7" t="s">
        <v>91</v>
      </c>
      <c r="B6" s="7" t="s">
        <v>72</v>
      </c>
      <c r="C6" s="7" t="s">
        <v>32</v>
      </c>
      <c r="D6" s="7" t="s">
        <v>11</v>
      </c>
      <c r="E6" s="7" t="s">
        <v>81</v>
      </c>
      <c r="F6" s="7" t="s">
        <v>81</v>
      </c>
      <c r="G6" s="7" t="s">
        <v>82</v>
      </c>
      <c r="I6" s="7">
        <f>COUNTIF(F2:F11,"YES")</f>
        <v>6</v>
      </c>
      <c r="J6" s="7"/>
      <c r="K6" s="7"/>
    </row>
    <row r="7" spans="1:11" x14ac:dyDescent="0.25">
      <c r="A7" s="7" t="s">
        <v>92</v>
      </c>
      <c r="B7" s="7" t="s">
        <v>23</v>
      </c>
      <c r="C7" s="7" t="s">
        <v>31</v>
      </c>
      <c r="D7" s="7" t="s">
        <v>76</v>
      </c>
      <c r="E7" s="7" t="s">
        <v>82</v>
      </c>
      <c r="F7" s="7" t="s">
        <v>81</v>
      </c>
      <c r="G7" s="7" t="s">
        <v>82</v>
      </c>
      <c r="I7" s="12" t="s">
        <v>86</v>
      </c>
      <c r="J7" s="12"/>
      <c r="K7" s="12"/>
    </row>
    <row r="8" spans="1:11" x14ac:dyDescent="0.25">
      <c r="A8" s="7" t="s">
        <v>93</v>
      </c>
      <c r="B8" s="7" t="s">
        <v>73</v>
      </c>
      <c r="C8" s="7" t="s">
        <v>9</v>
      </c>
      <c r="D8" s="7" t="s">
        <v>77</v>
      </c>
      <c r="E8" s="7" t="s">
        <v>81</v>
      </c>
      <c r="F8" s="7" t="s">
        <v>81</v>
      </c>
      <c r="G8" s="7" t="s">
        <v>81</v>
      </c>
      <c r="I8" s="7">
        <f>COUNTIF(G2:G11,"YES")</f>
        <v>5</v>
      </c>
      <c r="J8" s="7"/>
      <c r="K8" s="7"/>
    </row>
    <row r="9" spans="1:11" x14ac:dyDescent="0.25">
      <c r="A9" s="7" t="s">
        <v>94</v>
      </c>
      <c r="B9" s="7" t="s">
        <v>24</v>
      </c>
      <c r="C9" s="7" t="s">
        <v>29</v>
      </c>
      <c r="D9" s="7" t="s">
        <v>78</v>
      </c>
      <c r="E9" s="7" t="s">
        <v>82</v>
      </c>
      <c r="F9" s="7" t="s">
        <v>82</v>
      </c>
      <c r="G9" s="7" t="s">
        <v>81</v>
      </c>
      <c r="I9" s="12" t="s">
        <v>85</v>
      </c>
      <c r="J9" s="12"/>
      <c r="K9" s="12"/>
    </row>
    <row r="10" spans="1:11" x14ac:dyDescent="0.25">
      <c r="A10" s="7" t="s">
        <v>95</v>
      </c>
      <c r="B10" s="7" t="s">
        <v>25</v>
      </c>
      <c r="C10" s="7" t="s">
        <v>30</v>
      </c>
      <c r="D10" s="7" t="s">
        <v>79</v>
      </c>
      <c r="E10" s="7" t="s">
        <v>81</v>
      </c>
      <c r="F10" s="7" t="s">
        <v>82</v>
      </c>
      <c r="G10" s="7" t="s">
        <v>81</v>
      </c>
      <c r="I10" s="8">
        <f>COUNTIF(G2:G11,"YES")/COUNTIF(F2:F11,"YES")</f>
        <v>0.83333333333333337</v>
      </c>
      <c r="J10" s="7"/>
      <c r="K10" s="7"/>
    </row>
    <row r="11" spans="1:11" x14ac:dyDescent="0.25">
      <c r="A11" s="7" t="s">
        <v>96</v>
      </c>
      <c r="B11" s="7" t="s">
        <v>18</v>
      </c>
      <c r="C11" s="7" t="s">
        <v>32</v>
      </c>
      <c r="D11" s="7" t="s">
        <v>80</v>
      </c>
      <c r="E11" s="7" t="s">
        <v>81</v>
      </c>
      <c r="F11" s="7" t="s">
        <v>81</v>
      </c>
      <c r="G11" s="7" t="s">
        <v>82</v>
      </c>
    </row>
  </sheetData>
  <phoneticPr fontId="2" type="noConversion"/>
  <conditionalFormatting sqref="G1:G11">
    <cfRule type="containsText" dxfId="0" priority="1" operator="containsText" text="yes">
      <formula>NOT(ISERROR(SEARCH("yes",G1)))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DD7E-D6CD-40FA-BE01-164F9EACB1A1}">
  <dimension ref="A3:B18"/>
  <sheetViews>
    <sheetView workbookViewId="0">
      <selection activeCell="R13" sqref="R13"/>
    </sheetView>
  </sheetViews>
  <sheetFormatPr defaultRowHeight="15" x14ac:dyDescent="0.25"/>
  <cols>
    <col min="1" max="1" width="13.140625" bestFit="1" customWidth="1"/>
    <col min="2" max="2" width="20.28515625" bestFit="1" customWidth="1"/>
  </cols>
  <sheetData>
    <row r="3" spans="1:2" x14ac:dyDescent="0.25">
      <c r="A3" s="2" t="s">
        <v>33</v>
      </c>
      <c r="B3" t="s">
        <v>97</v>
      </c>
    </row>
    <row r="4" spans="1:2" x14ac:dyDescent="0.25">
      <c r="A4" s="3" t="s">
        <v>29</v>
      </c>
      <c r="B4" s="6">
        <v>2</v>
      </c>
    </row>
    <row r="5" spans="1:2" x14ac:dyDescent="0.25">
      <c r="A5" s="4" t="s">
        <v>82</v>
      </c>
      <c r="B5" s="6">
        <v>1</v>
      </c>
    </row>
    <row r="6" spans="1:2" x14ac:dyDescent="0.25">
      <c r="A6" s="4" t="s">
        <v>81</v>
      </c>
      <c r="B6" s="6">
        <v>1</v>
      </c>
    </row>
    <row r="7" spans="1:2" x14ac:dyDescent="0.25">
      <c r="A7" s="3" t="s">
        <v>9</v>
      </c>
      <c r="B7" s="6">
        <v>2</v>
      </c>
    </row>
    <row r="8" spans="1:2" x14ac:dyDescent="0.25">
      <c r="A8" s="4" t="s">
        <v>82</v>
      </c>
      <c r="B8" s="6">
        <v>1</v>
      </c>
    </row>
    <row r="9" spans="1:2" x14ac:dyDescent="0.25">
      <c r="A9" s="4" t="s">
        <v>81</v>
      </c>
      <c r="B9" s="6">
        <v>1</v>
      </c>
    </row>
    <row r="10" spans="1:2" x14ac:dyDescent="0.25">
      <c r="A10" s="3" t="s">
        <v>31</v>
      </c>
      <c r="B10" s="6">
        <v>2</v>
      </c>
    </row>
    <row r="11" spans="1:2" x14ac:dyDescent="0.25">
      <c r="A11" s="4" t="s">
        <v>81</v>
      </c>
      <c r="B11" s="6">
        <v>2</v>
      </c>
    </row>
    <row r="12" spans="1:2" x14ac:dyDescent="0.25">
      <c r="A12" s="3" t="s">
        <v>32</v>
      </c>
      <c r="B12" s="6">
        <v>2</v>
      </c>
    </row>
    <row r="13" spans="1:2" x14ac:dyDescent="0.25">
      <c r="A13" s="4" t="s">
        <v>81</v>
      </c>
      <c r="B13" s="6">
        <v>2</v>
      </c>
    </row>
    <row r="14" spans="1:2" x14ac:dyDescent="0.25">
      <c r="A14" s="3" t="s">
        <v>30</v>
      </c>
      <c r="B14" s="6">
        <v>2</v>
      </c>
    </row>
    <row r="15" spans="1:2" x14ac:dyDescent="0.25">
      <c r="A15" s="4" t="s">
        <v>82</v>
      </c>
      <c r="B15" s="6">
        <v>2</v>
      </c>
    </row>
    <row r="16" spans="1:2" x14ac:dyDescent="0.25">
      <c r="A16" s="3" t="s">
        <v>34</v>
      </c>
      <c r="B16" s="6"/>
    </row>
    <row r="17" spans="1:2" x14ac:dyDescent="0.25">
      <c r="A17" s="4" t="s">
        <v>34</v>
      </c>
      <c r="B17" s="6"/>
    </row>
    <row r="18" spans="1:2" x14ac:dyDescent="0.25">
      <c r="A18" s="3" t="s">
        <v>35</v>
      </c>
      <c r="B18" s="6">
        <v>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22CA3-41BB-4C28-9DC3-A1890B651091}">
  <dimension ref="A2:A36"/>
  <sheetViews>
    <sheetView topLeftCell="C1" workbookViewId="0">
      <selection activeCell="J19" sqref="J19"/>
    </sheetView>
  </sheetViews>
  <sheetFormatPr defaultRowHeight="15" x14ac:dyDescent="0.25"/>
  <cols>
    <col min="1" max="1" width="13.140625" bestFit="1" customWidth="1"/>
  </cols>
  <sheetData>
    <row r="2" spans="1:1" x14ac:dyDescent="0.25">
      <c r="A2" s="2" t="s">
        <v>33</v>
      </c>
    </row>
    <row r="3" spans="1:1" x14ac:dyDescent="0.25">
      <c r="A3" s="3" t="s">
        <v>80</v>
      </c>
    </row>
    <row r="4" spans="1:1" x14ac:dyDescent="0.25">
      <c r="A4" s="4" t="s">
        <v>18</v>
      </c>
    </row>
    <row r="5" spans="1:1" x14ac:dyDescent="0.25">
      <c r="A5" s="5" t="s">
        <v>81</v>
      </c>
    </row>
    <row r="6" spans="1:1" x14ac:dyDescent="0.25">
      <c r="A6" s="3" t="s">
        <v>75</v>
      </c>
    </row>
    <row r="7" spans="1:1" x14ac:dyDescent="0.25">
      <c r="A7" s="4" t="s">
        <v>71</v>
      </c>
    </row>
    <row r="8" spans="1:1" x14ac:dyDescent="0.25">
      <c r="A8" s="5" t="s">
        <v>81</v>
      </c>
    </row>
    <row r="9" spans="1:1" x14ac:dyDescent="0.25">
      <c r="A9" s="3" t="s">
        <v>77</v>
      </c>
    </row>
    <row r="10" spans="1:1" x14ac:dyDescent="0.25">
      <c r="A10" s="4" t="s">
        <v>73</v>
      </c>
    </row>
    <row r="11" spans="1:1" x14ac:dyDescent="0.25">
      <c r="A11" s="5" t="s">
        <v>81</v>
      </c>
    </row>
    <row r="12" spans="1:1" x14ac:dyDescent="0.25">
      <c r="A12" s="3" t="s">
        <v>16</v>
      </c>
    </row>
    <row r="13" spans="1:1" x14ac:dyDescent="0.25">
      <c r="A13" s="4" t="s">
        <v>13</v>
      </c>
    </row>
    <row r="14" spans="1:1" x14ac:dyDescent="0.25">
      <c r="A14" s="5" t="s">
        <v>82</v>
      </c>
    </row>
    <row r="15" spans="1:1" x14ac:dyDescent="0.25">
      <c r="A15" s="3" t="s">
        <v>17</v>
      </c>
    </row>
    <row r="16" spans="1:1" x14ac:dyDescent="0.25">
      <c r="A16" s="4" t="s">
        <v>70</v>
      </c>
    </row>
    <row r="17" spans="1:1" x14ac:dyDescent="0.25">
      <c r="A17" s="5" t="s">
        <v>82</v>
      </c>
    </row>
    <row r="18" spans="1:1" x14ac:dyDescent="0.25">
      <c r="A18" s="3" t="s">
        <v>78</v>
      </c>
    </row>
    <row r="19" spans="1:1" x14ac:dyDescent="0.25">
      <c r="A19" s="4" t="s">
        <v>24</v>
      </c>
    </row>
    <row r="20" spans="1:1" x14ac:dyDescent="0.25">
      <c r="A20" s="5" t="s">
        <v>82</v>
      </c>
    </row>
    <row r="21" spans="1:1" x14ac:dyDescent="0.25">
      <c r="A21" s="3" t="s">
        <v>11</v>
      </c>
    </row>
    <row r="22" spans="1:1" x14ac:dyDescent="0.25">
      <c r="A22" s="4" t="s">
        <v>72</v>
      </c>
    </row>
    <row r="23" spans="1:1" x14ac:dyDescent="0.25">
      <c r="A23" s="5" t="s">
        <v>81</v>
      </c>
    </row>
    <row r="24" spans="1:1" x14ac:dyDescent="0.25">
      <c r="A24" s="3" t="s">
        <v>74</v>
      </c>
    </row>
    <row r="25" spans="1:1" x14ac:dyDescent="0.25">
      <c r="A25" s="4" t="s">
        <v>69</v>
      </c>
    </row>
    <row r="26" spans="1:1" x14ac:dyDescent="0.25">
      <c r="A26" s="5" t="s">
        <v>81</v>
      </c>
    </row>
    <row r="27" spans="1:1" x14ac:dyDescent="0.25">
      <c r="A27" s="3" t="s">
        <v>79</v>
      </c>
    </row>
    <row r="28" spans="1:1" x14ac:dyDescent="0.25">
      <c r="A28" s="4" t="s">
        <v>25</v>
      </c>
    </row>
    <row r="29" spans="1:1" x14ac:dyDescent="0.25">
      <c r="A29" s="5" t="s">
        <v>82</v>
      </c>
    </row>
    <row r="30" spans="1:1" x14ac:dyDescent="0.25">
      <c r="A30" s="3" t="s">
        <v>76</v>
      </c>
    </row>
    <row r="31" spans="1:1" x14ac:dyDescent="0.25">
      <c r="A31" s="4" t="s">
        <v>23</v>
      </c>
    </row>
    <row r="32" spans="1:1" x14ac:dyDescent="0.25">
      <c r="A32" s="5" t="s">
        <v>81</v>
      </c>
    </row>
    <row r="33" spans="1:1" x14ac:dyDescent="0.25">
      <c r="A33" s="3" t="s">
        <v>34</v>
      </c>
    </row>
    <row r="34" spans="1:1" x14ac:dyDescent="0.25">
      <c r="A34" s="4" t="s">
        <v>34</v>
      </c>
    </row>
    <row r="35" spans="1:1" x14ac:dyDescent="0.25">
      <c r="A35" s="5" t="s">
        <v>34</v>
      </c>
    </row>
    <row r="36" spans="1:1" x14ac:dyDescent="0.25">
      <c r="A36" s="3" t="s">
        <v>35</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stacked" displayEmptyCellsAs="gap" xr2:uid="{0D8705FD-44B5-4EE7-B7A0-DE3DC0FB90D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'Pivot table 2'!H12</xm:f>
              <xm:sqref>A1</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 if</vt:lpstr>
      <vt:lpstr>Pivot table</vt:lpstr>
      <vt:lpstr>conditional formatting</vt:lpstr>
      <vt:lpstr>countif</vt:lpstr>
      <vt:lpstr>Pivot table 2</vt:lpstr>
      <vt:lpstr>silcers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Mahalakshmi</dc:creator>
  <cp:lastModifiedBy>S Mahalakshmi</cp:lastModifiedBy>
  <dcterms:created xsi:type="dcterms:W3CDTF">2026-07-06T13:51:00Z</dcterms:created>
  <dcterms:modified xsi:type="dcterms:W3CDTF">2026-07-06T17:19:00Z</dcterms:modified>
</cp:coreProperties>
</file>